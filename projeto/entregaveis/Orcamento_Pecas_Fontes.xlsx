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eças" sheetId="2" state="visible" r:id="rId4"/>
    <sheet name="Premissas" sheetId="3" state="visible" r:id="rId5"/>
    <sheet name="Fontes" sheetId="4" state="visible" r:id="rId6"/>
    <sheet name="RFID - Peças" sheetId="5" state="visible" r:id="rId7"/>
    <sheet name="RFID - Fontes" sheetId="6" state="visible" r:id="rId8"/>
  </sheets>
  <definedNames>
    <definedName function="false" hidden="true" localSheetId="3" name="_xlnm._FilterDatabase" vbProcedure="false">Fontes!$A$1:$L$45</definedName>
    <definedName function="false" hidden="true" localSheetId="5" name="_xlnm._FilterDatabase" vbProcedure="false">'RFID - Fontes'!$A$1:$L$12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<sst xmlns="http://schemas.openxmlformats.org/spreadsheetml/2006/main" count="717" uniqueCount="408">
  <si>
    <t xml:space="preserve">Peças do Pick-to-Light com fontes</t>
  </si>
  <si>
    <t xml:space="preserve">Preços de lojas on-line consultados em 27/10/2026. Cada componente tem o link nas abas de fontes.</t>
  </si>
  <si>
    <t xml:space="preserve">Projeto (Arquitetura A, equipe interna)</t>
  </si>
  <si>
    <t xml:space="preserve">POC (R$)</t>
  </si>
  <si>
    <t xml:space="preserve">40 estações (R$)</t>
  </si>
  <si>
    <t xml:space="preserve">Observação</t>
  </si>
  <si>
    <t xml:space="preserve">Peças e materiais, com frete</t>
  </si>
  <si>
    <t xml:space="preserve">igual à linha de materiais do orçamento completo e do projeto interno</t>
  </si>
  <si>
    <t xml:space="preserve">Componentes do projeto</t>
  </si>
  <si>
    <t xml:space="preserve">Componentes</t>
  </si>
  <si>
    <t xml:space="preserve">Com link e preço lido na página</t>
  </si>
  <si>
    <t xml:space="preserve">Sem link (valor estipulado ou serviço a cotar)</t>
  </si>
  <si>
    <t xml:space="preserve">Com link, preço não lido (estimado)</t>
  </si>
  <si>
    <t xml:space="preserve">RFID futuro (separado, não somado ao projeto)</t>
  </si>
  <si>
    <t xml:space="preserve">Piloto (R$)</t>
  </si>
  <si>
    <t xml:space="preserve">Peças do RFID, com frete</t>
  </si>
  <si>
    <t xml:space="preserve">melhoria futura; abas RFID - Peças e RFID - Fontes</t>
  </si>
  <si>
    <t xml:space="preserve">Componentes do RFID</t>
  </si>
  <si>
    <t xml:space="preserve">Os preços são de varejo, para 1 unidade, sem frete (o frete entra como percentual). Em compras de centenas de peças vale pedir cotação de atacado às mesmas lojas. Vários itens estavam com 'últimas unidades' na consulta: ver a coluna Observação das abas de fontes.</t>
  </si>
  <si>
    <t xml:space="preserve">Abas do projeto: Peças · Fontes · Premissas. Abas do RFID futuro: RFID - Peças · RFID - Fontes.</t>
  </si>
  <si>
    <t xml:space="preserve">Peças do projeto: Arquitetura A, equipe interna</t>
  </si>
  <si>
    <t xml:space="preserve">Preços consultados em 27/10/2026; o preço de cada código soma os componentes da aba Fontes, onde estão a loja, o produto e o link de cada um. Quantidades do orçamento completo (com 10% de reserva). Só peças e materiais: mão de obra e software ficam fora. O RFID (melhoria futura) está nas abas próprias e não entra aqui.</t>
  </si>
  <si>
    <t xml:space="preserve">Código</t>
  </si>
  <si>
    <t xml:space="preserve">Peça</t>
  </si>
  <si>
    <t xml:space="preserve">Unid.</t>
  </si>
  <si>
    <t xml:space="preserve">Preço unit. (R$)</t>
  </si>
  <si>
    <t xml:space="preserve">Qtd POC (04 e 27 + bancada)</t>
  </si>
  <si>
    <t xml:space="preserve">Qtd projeto (40 estações)</t>
  </si>
  <si>
    <t xml:space="preserve">Total POC (R$)</t>
  </si>
  <si>
    <t xml:space="preserve">Total projeto (R$)</t>
  </si>
  <si>
    <t xml:space="preserve">Onde é usada</t>
  </si>
  <si>
    <t xml:space="preserve">Fonte</t>
  </si>
  <si>
    <t xml:space="preserve">P01</t>
  </si>
  <si>
    <t xml:space="preserve">Display 7 segmentos 4 dígitos TM1637 (usa 3 dígitos, quantidade)</t>
  </si>
  <si>
    <t xml:space="preserve">un</t>
  </si>
  <si>
    <t xml:space="preserve">Módulo Q, Módulo E+Q</t>
  </si>
  <si>
    <t xml:space="preserve">Usinainfo</t>
  </si>
  <si>
    <t xml:space="preserve">P02</t>
  </si>
  <si>
    <t xml:space="preserve">Display 7 segmentos 8 dígitos MAX7219 (endereço)</t>
  </si>
  <si>
    <t xml:space="preserve">Módulo E+Q</t>
  </si>
  <si>
    <t xml:space="preserve">P03</t>
  </si>
  <si>
    <t xml:space="preserve">Microcontrolador Raspberry Pi Pico (RP2040)</t>
  </si>
  <si>
    <t xml:space="preserve">Nó de coluna, Módulo E+Q</t>
  </si>
  <si>
    <t xml:space="preserve">MakerHero</t>
  </si>
  <si>
    <t xml:space="preserve">P04</t>
  </si>
  <si>
    <t xml:space="preserve">Módulo transceptor RS-485 (MAX485)</t>
  </si>
  <si>
    <t xml:space="preserve">Nó de coluna, Módulo E+Q, Concentrador (2)</t>
  </si>
  <si>
    <t xml:space="preserve">Saravati</t>
  </si>
  <si>
    <t xml:space="preserve">P05</t>
  </si>
  <si>
    <t xml:space="preserve">Placa do concentrador RP2040 + Ethernet W5500 (W5500-EVB-Pico)</t>
  </si>
  <si>
    <t xml:space="preserve">Concentrador</t>
  </si>
  <si>
    <t xml:space="preserve">SparkFun (EUA)</t>
  </si>
  <si>
    <t xml:space="preserve">P06</t>
  </si>
  <si>
    <t xml:space="preserve">Fonte Mean Well LRS-150-12 (12 V / 12,5 A / 150 W)</t>
  </si>
  <si>
    <t xml:space="preserve">MCEIG</t>
  </si>
  <si>
    <t xml:space="preserve">P08</t>
  </si>
  <si>
    <t xml:space="preserve">Regulador step-down 12 V → 5 V (MP1584, 3 A)</t>
  </si>
  <si>
    <t xml:space="preserve">Nó de coluna, Módulo E+Q, Concentrador</t>
  </si>
  <si>
    <t xml:space="preserve">P09</t>
  </si>
  <si>
    <t xml:space="preserve">Botão de confirmação metálico 16 mm com LED 12-24 V (pulsador)</t>
  </si>
  <si>
    <t xml:space="preserve">P10</t>
  </si>
  <si>
    <t xml:space="preserve">Conector RJ45 fêmea para placa (90°)</t>
  </si>
  <si>
    <t xml:space="preserve">Módulo Q (1), Nó (6), E+Q (2), Concentrador (2)</t>
  </si>
  <si>
    <t xml:space="preserve">Mult Comercial</t>
  </si>
  <si>
    <t xml:space="preserve">P11</t>
  </si>
  <si>
    <t xml:space="preserve">Plug RJ45 Cat5e (macho)</t>
  </si>
  <si>
    <t xml:space="preserve">barramento e bancada</t>
  </si>
  <si>
    <t xml:space="preserve">KaBuM</t>
  </si>
  <si>
    <t xml:space="preserve">P12</t>
  </si>
  <si>
    <t xml:space="preserve">Cabo Cat5e (por metro)</t>
  </si>
  <si>
    <t xml:space="preserve">m</t>
  </si>
  <si>
    <t xml:space="preserve">barramento, ligações dos módulos Q, rede até a estação, uplink, bancada</t>
  </si>
  <si>
    <t xml:space="preserve">P13</t>
  </si>
  <si>
    <t xml:space="preserve">Carcaça do Módulo Q (impressão 3D, medida padrão compacta)</t>
  </si>
  <si>
    <t xml:space="preserve">Módulo Q</t>
  </si>
  <si>
    <t xml:space="preserve">Valor estipulado (sem link)</t>
  </si>
  <si>
    <t xml:space="preserve">P14</t>
  </si>
  <si>
    <t xml:space="preserve">Carcaça do Módulo E+Q / Nó de coluna (impressão 3D, medida padrão compacta)</t>
  </si>
  <si>
    <t xml:space="preserve">P15</t>
  </si>
  <si>
    <t xml:space="preserve">Placa base perfurada 7 × 5 cm + 2 bornes KRE (nó / módulo E+Q)</t>
  </si>
  <si>
    <t xml:space="preserve">2 componentes, aba Fontes</t>
  </si>
  <si>
    <t xml:space="preserve">P16</t>
  </si>
  <si>
    <t xml:space="preserve">Gabinete do concentrador (caixa Patola PB-220/70 + cooler 40 mm 12 V + grade)</t>
  </si>
  <si>
    <t xml:space="preserve">3 componentes, aba Fontes</t>
  </si>
  <si>
    <t xml:space="preserve">P17</t>
  </si>
  <si>
    <t xml:space="preserve">Trilho DIN + disjuntor 2 A + bornes</t>
  </si>
  <si>
    <t xml:space="preserve">kit</t>
  </si>
  <si>
    <t xml:space="preserve">P18</t>
  </si>
  <si>
    <t xml:space="preserve">Canaleta PVC 20 × 10 mm com adesivo (por metro)</t>
  </si>
  <si>
    <t xml:space="preserve">fixação dos módulos</t>
  </si>
  <si>
    <t xml:space="preserve">Telhanorte</t>
  </si>
  <si>
    <t xml:space="preserve">P19</t>
  </si>
  <si>
    <t xml:space="preserve">Fixações por estação (abraçadeiras e etiquetas de endereço)</t>
  </si>
  <si>
    <t xml:space="preserve">1 kit por estação</t>
  </si>
  <si>
    <t xml:space="preserve">P20</t>
  </si>
  <si>
    <t xml:space="preserve">Switch 24 portas Gigabit TP-Link TL-SG1024DE</t>
  </si>
  <si>
    <t xml:space="preserve">rede das estações</t>
  </si>
  <si>
    <t xml:space="preserve">P38</t>
  </si>
  <si>
    <t xml:space="preserve">Cabo PP 3 × 1,0 mm² (por metro)</t>
  </si>
  <si>
    <t xml:space="preserve">alimentação do concentrador (3 m)</t>
  </si>
  <si>
    <t xml:space="preserve">P39</t>
  </si>
  <si>
    <t xml:space="preserve">Plugue 2P+T 10 A com prensa-cabo</t>
  </si>
  <si>
    <t xml:space="preserve">alimentação do concentrador</t>
  </si>
  <si>
    <t xml:space="preserve">Leroy Merlin</t>
  </si>
  <si>
    <t xml:space="preserve">P40</t>
  </si>
  <si>
    <t xml:space="preserve">DPS / protetor de surto 275 V 20 kA</t>
  </si>
  <si>
    <t xml:space="preserve">P41</t>
  </si>
  <si>
    <t xml:space="preserve">Kit rede: alicate de crimpar + testador + 40 m Cat5e Nexans + 10 RJ45</t>
  </si>
  <si>
    <t xml:space="preserve">ferramenta (compra única)</t>
  </si>
  <si>
    <t xml:space="preserve">P42</t>
  </si>
  <si>
    <t xml:space="preserve">Bancada de eletrônica: estação de solda + multímetro + estanho</t>
  </si>
  <si>
    <t xml:space="preserve">P43</t>
  </si>
  <si>
    <t xml:space="preserve">Nobreak 720 VA bivolt (Intelbras XNB) para o switch</t>
  </si>
  <si>
    <t xml:space="preserve">1 por switch</t>
  </si>
  <si>
    <t xml:space="preserve">P44</t>
  </si>
  <si>
    <t xml:space="preserve">Mini rack de parede 5U 19" + organizador de cabos + 2 patch cords</t>
  </si>
  <si>
    <t xml:space="preserve">P46</t>
  </si>
  <si>
    <t xml:space="preserve">Ponto de tomada 220 V novo (material + eletricista)</t>
  </si>
  <si>
    <t xml:space="preserve">estações sem tomada próxima</t>
  </si>
  <si>
    <t xml:space="preserve">A cotar (sem link)</t>
  </si>
  <si>
    <t xml:space="preserve">P47</t>
  </si>
  <si>
    <t xml:space="preserve">Sinal luminoso de baixo giro (sinaleiro LED 22 mm amarelo 12 V + haste + transistor)</t>
  </si>
  <si>
    <t xml:space="preserve">1 por estação</t>
  </si>
  <si>
    <t xml:space="preserve">P48</t>
  </si>
  <si>
    <t xml:space="preserve">Painel de MDF 120 × 60 cm com longarina para a bancada</t>
  </si>
  <si>
    <t xml:space="preserve">bancada da POC</t>
  </si>
  <si>
    <t xml:space="preserve">P49</t>
  </si>
  <si>
    <t xml:space="preserve">Switch 5 portas Gigabit (bancada)</t>
  </si>
  <si>
    <t xml:space="preserve">Frete das compras (% da aba Premissas)</t>
  </si>
  <si>
    <t xml:space="preserve">TOTAL</t>
  </si>
  <si>
    <t xml:space="preserve">Colunas da POC: estações 04 e 27 com reserva, mais os itens só da bancada (sinal, cabo, plugs, painel de MDF e switch de 5 portas); o concentrador, o nó e os módulos da bancada vão para a estação 04 e não são contados duas vezes.</t>
  </si>
  <si>
    <t xml:space="preserve">Fundo amarelo: valor sem preço de loja, por decisão do projeto. P13 e P14: carcaças dos LEDs impressas em 3D, em medida padrão compacta, com valor estipulado. P46: serviço de eletricista, a cotar com a manutenção predial.</t>
  </si>
  <si>
    <t xml:space="preserve">Premissas usadas nos preços</t>
  </si>
  <si>
    <t xml:space="preserve">Premissa</t>
  </si>
  <si>
    <t xml:space="preserve">Valor</t>
  </si>
  <si>
    <t xml:space="preserve">Câmbio USD/BRL</t>
  </si>
  <si>
    <t xml:space="preserve">renovainvest.com.br/dolar-hoje, fechamento de 23/10/2026 (13h07, mercado fechado)</t>
  </si>
  <si>
    <t xml:space="preserve">Fator de importação sobre o valor em US$</t>
  </si>
  <si>
    <t xml:space="preserve">Estimativa para importação formal de eletrônicos (II + IPI + PIS/COFINS + ICMS + frete). Confirmar com Comércio Exterior.</t>
  </si>
  <si>
    <t xml:space="preserve">Frete das compras nacionais</t>
  </si>
  <si>
    <t xml:space="preserve">Estimativa sobre as peças e a infraestrutura; itens importados já têm frete no fator de importação</t>
  </si>
  <si>
    <t xml:space="preserve">Só a placa W5500-EVB-Pico (P05) é importada; as outras peças têm preço em reais em lojas do Brasil.</t>
  </si>
  <si>
    <t xml:space="preserve">Componente</t>
  </si>
  <si>
    <t xml:space="preserve">Loja</t>
  </si>
  <si>
    <t xml:space="preserve">Produto (como aparece na loja)</t>
  </si>
  <si>
    <t xml:space="preserve">Link</t>
  </si>
  <si>
    <t xml:space="preserve">Preço publicado</t>
  </si>
  <si>
    <t xml:space="preserve">Forma do preço</t>
  </si>
  <si>
    <t xml:space="preserve">Unidades na embalagem</t>
  </si>
  <si>
    <t xml:space="preserve">Qtd por unidade do código</t>
  </si>
  <si>
    <t xml:space="preserve">Preço no código (R$)</t>
  </si>
  <si>
    <t xml:space="preserve">Data</t>
  </si>
  <si>
    <t xml:space="preserve">Display TM1637 4 dígitos</t>
  </si>
  <si>
    <t xml:space="preserve">Módulo Display TM1637 LED 7 Segmentos 4 Dígitos Vermelho</t>
  </si>
  <si>
    <t xml:space="preserve">https://www.usinainfo.com.br/display-arduino/modulo-display-tm1637-7-segmentos-4-digitos-vermelho-2943.html</t>
  </si>
  <si>
    <t xml:space="preserve">Pix</t>
  </si>
  <si>
    <t xml:space="preserve">27/10/2026</t>
  </si>
  <si>
    <t xml:space="preserve">cartão R$ 11,55; últimas unidades</t>
  </si>
  <si>
    <t xml:space="preserve">Display MAX7219 8 dígitos</t>
  </si>
  <si>
    <t xml:space="preserve">Módulo Display LED 8 Dígitos com Interface Controle SPI - MAX7219</t>
  </si>
  <si>
    <t xml:space="preserve">https://www.usinainfo.com.br/display-arduino/modulo-display-led-8-digitos-com-interface-controle-spi-max7219-4416.html</t>
  </si>
  <si>
    <t xml:space="preserve">cartão R$ 21,23; últimas unidades</t>
  </si>
  <si>
    <t xml:space="preserve">Raspberry Pi Pico</t>
  </si>
  <si>
    <t xml:space="preserve">Raspberry Pi Pico (DRA61)</t>
  </si>
  <si>
    <t xml:space="preserve">https://www.makerhero.com/produto/raspberry-pi-pico/</t>
  </si>
  <si>
    <t xml:space="preserve">normal R$ 39,90; em estoque</t>
  </si>
  <si>
    <t xml:space="preserve">Módulo MAX485</t>
  </si>
  <si>
    <t xml:space="preserve">Módulo Conversor de Dados TTL para RS485 MAX485</t>
  </si>
  <si>
    <t xml:space="preserve">https://www.saravati.com.br/modulo-conversor-de-dados-ttl-para-rs485-max485.html</t>
  </si>
  <si>
    <t xml:space="preserve">preço especial</t>
  </si>
  <si>
    <t xml:space="preserve">normal R$ 14,90; 246 em estoque</t>
  </si>
  <si>
    <t xml:space="preserve">W5500-EVB-Pico</t>
  </si>
  <si>
    <t xml:space="preserve">W5500-EVB-Pico (DEV-19958)</t>
  </si>
  <si>
    <t xml:space="preserve">https://www.sparkfun.com/w5500-evb-pico.html</t>
  </si>
  <si>
    <t xml:space="preserve">US$</t>
  </si>
  <si>
    <t xml:space="preserve">em estoque; convertido em reais com câmbio × fator de importação (aba Premissas do orçamento completo)</t>
  </si>
  <si>
    <t xml:space="preserve">Fonte LRS-150-12</t>
  </si>
  <si>
    <t xml:space="preserve">LRS-150-12 - Fonte Chaveada 150W 85-264VCA/120-373VCC Saída 12VCC/12.5A - MEAN WELL</t>
  </si>
  <si>
    <t xml:space="preserve">https://www.mceig.com.br/produto/lrs-150-12-fonte-chaveada-150w-85-264vca-120-373vcc-saida-12vcc-12-5a-mean-well/</t>
  </si>
  <si>
    <t xml:space="preserve">preço da página</t>
  </si>
  <si>
    <t xml:space="preserve">em estoque (pode ser encomendado)</t>
  </si>
  <si>
    <t xml:space="preserve">P07</t>
  </si>
  <si>
    <t xml:space="preserve">Fonte 5 V 150 W</t>
  </si>
  <si>
    <t xml:space="preserve">RSP-150-5 - Fonte Chaveada Fechada 150W 85-264VCA/120-370VCC Saída 5V-30A - MEAN WELL</t>
  </si>
  <si>
    <t xml:space="preserve">https://www.mceig.com.br/produto/rsp-150-5-fonte-chaveada-fechada-150w-85-264vca-120-370vcc-saida-5v-30a-mean-well/</t>
  </si>
  <si>
    <t xml:space="preserve">sob encomenda; a LRS-150-5 não foi encontrada à venda no Brasil; só a variante 5 V usa</t>
  </si>
  <si>
    <t xml:space="preserve">Step-down MP1584</t>
  </si>
  <si>
    <t xml:space="preserve">Módulo Mini Conversor De Tensão DC/DC - MP1584EN Step Down</t>
  </si>
  <si>
    <t xml:space="preserve">https://www.saravati.com.br/modulo-mini-conversor-de-tensao-dc-dc-mp1584en-step-down.html</t>
  </si>
  <si>
    <t xml:space="preserve">normal R$ 11,90; 106 em estoque; 3 A</t>
  </si>
  <si>
    <t xml:space="preserve">Pulsador inox 16 mm com LED</t>
  </si>
  <si>
    <t xml:space="preserve">Pulsador 16mm LED Vermelho 12-24V Inox Impermeável - MC320</t>
  </si>
  <si>
    <t xml:space="preserve">https://www.usinainfo.com.br/interruptores-e-pulsadores/interruptor-pulsador-16mm-com-led-vermelho-12-24v-em-aco-inox-impermeavel-3134.html</t>
  </si>
  <si>
    <t xml:space="preserve">cartão R$ 21,84; últimas unidades</t>
  </si>
  <si>
    <t xml:space="preserve">RJ45 fêmea PCI 90°</t>
  </si>
  <si>
    <t xml:space="preserve">Conector RJ45 Fêmea 8 vias Blindado 90º PCI - JL46057</t>
  </si>
  <si>
    <t xml:space="preserve">https://www.multcomercial.com.br/conector-jack-rj45-femea-com-8-vias-blindado-90-pci-jl46057.html</t>
  </si>
  <si>
    <t xml:space="preserve">cartão R$ 5,00; 285 em estoque. Alternativa sem blindagem Connfly DS1125-S80BP R$ 2,03 (Pix), só 5 em estoque: https://www.multcomercial.com.br/conector-jack-rj45-ds1125-s80bp-8p8c-90-com-08-vias-connfly.html</t>
  </si>
  <si>
    <t xml:space="preserve">Plug RJ45 Cat5e (100 un)</t>
  </si>
  <si>
    <t xml:space="preserve">Plug Conector Rj45 Macho Cat 5e 8 Vias - Crimpar (100 Unidades)</t>
  </si>
  <si>
    <t xml:space="preserve">https://www.kabum.com.br/produto/328777/plug-conector-rj45-macho-cat-5e-8-vias-crimpar-100-unidades-</t>
  </si>
  <si>
    <t xml:space="preserve">pacote com 100</t>
  </si>
  <si>
    <t xml:space="preserve">Cabo Cat5e 305 m</t>
  </si>
  <si>
    <t xml:space="preserve">Cabo de Rede CAT.5e Furukawa SOHOPLUS, 305 Metros, Branco - 23200101</t>
  </si>
  <si>
    <t xml:space="preserve">https://www.kabum.com.br/produto/114681/cabo-de-rede-cat-5e-furukawa-305-metros-branco-23200101</t>
  </si>
  <si>
    <t xml:space="preserve">normal R$ 1.111,00; restam 10 caixas</t>
  </si>
  <si>
    <t xml:space="preserve">Carcaça 3D do módulo Q</t>
  </si>
  <si>
    <t xml:space="preserve">Valor estipulado</t>
  </si>
  <si>
    <t xml:space="preserve">Carcaça impressa em 3D, medida padrão compacta (definida pelo projeto)</t>
  </si>
  <si>
    <t xml:space="preserve">sem link (valor estipulado)</t>
  </si>
  <si>
    <t xml:space="preserve">valor estipulado</t>
  </si>
  <si>
    <t xml:space="preserve">Valor estipulado pelo projeto: carcaça compacta impressa em 3D, sem ocupar espaço na frente da prateleira. Referência do material: filamento PETG 1 kg R$ 169,82 (Pix) na KaBuM, https://www.kabum.com.br/produto/1063679/filamento-1-75mm-petg-basico-1kg-marrom-escuro-para-impressora-3d-com-carretel-reutilizavel-bambu-lab</t>
  </si>
  <si>
    <t xml:space="preserve">Carcaça 3D do módulo E+Q / nó</t>
  </si>
  <si>
    <t xml:space="preserve">Valor estipulado pelo projeto: carcaça compacta impressa em 3D para o E+Q e o nó de coluna. Mesma referência de filamento do P13</t>
  </si>
  <si>
    <t xml:space="preserve">Placa fenolite perfurada 7 × 5 cm</t>
  </si>
  <si>
    <t xml:space="preserve">Eletrogate</t>
  </si>
  <si>
    <t xml:space="preserve">Placa Fenolite Perfurada 7x5cm</t>
  </si>
  <si>
    <t xml:space="preserve">https://www.eletrogate.com/placa-fenolite-perfurada-7x5cm</t>
  </si>
  <si>
    <t xml:space="preserve">normal R$ 2,50; disponível</t>
  </si>
  <si>
    <t xml:space="preserve">Borne KRE 2 vias</t>
  </si>
  <si>
    <t xml:space="preserve">Baú da Eletrônica</t>
  </si>
  <si>
    <t xml:space="preserve">Borne KRE KF128 2 Vias - Verde</t>
  </si>
  <si>
    <t xml:space="preserve">https://www.baudaeletronica.com.br/produto/borne-kre-kf128-2-vias-verde.html</t>
  </si>
  <si>
    <t xml:space="preserve">normal R$ 1,30; 2 por placa (entrada e saída de 12 V)</t>
  </si>
  <si>
    <t xml:space="preserve">Caixa Patola PB-220/70</t>
  </si>
  <si>
    <t xml:space="preserve">Caixa Patola PB-220/70 para Montagem 71 x 228 x 190 mm</t>
  </si>
  <si>
    <t xml:space="preserve">https://www.usinainfo.com.br/caixas-patola/caixa-patola-pb-22070-para-montagem-71-x-228-x-190-mm-4383.html</t>
  </si>
  <si>
    <t xml:space="preserve">cartão R$ 174,86; últimas unidades; cabe a fonte LRS-150 (159 × 97 × 30 mm) e as placas</t>
  </si>
  <si>
    <t xml:space="preserve">Cooler 40 × 40 mm 12 V</t>
  </si>
  <si>
    <t xml:space="preserve">Cooler PC 40x40mm Fan 12V</t>
  </si>
  <si>
    <t xml:space="preserve">https://www.usinainfo.com.br/coolers-para-pc/cooler-pc-40x40mm-fan-12v-3041.html</t>
  </si>
  <si>
    <t xml:space="preserve">cartão R$ 16,39</t>
  </si>
  <si>
    <t xml:space="preserve">Grade do cooler 40 mm</t>
  </si>
  <si>
    <t xml:space="preserve">Grade para Cooler 40mm Metálica</t>
  </si>
  <si>
    <t xml:space="preserve">https://www.usinainfo.com.br/coolers-para-pc/grade-para-cooler-40mm-metalica-8398.html</t>
  </si>
  <si>
    <t xml:space="preserve">últimas unidades</t>
  </si>
  <si>
    <t xml:space="preserve">Trilho DIN curto</t>
  </si>
  <si>
    <t xml:space="preserve">Trilho Din Patola FDO 037 para Projetos</t>
  </si>
  <si>
    <t xml:space="preserve">https://www.usinainfo.com.br/caixas-patola/trilho-din-patola-fdo-037-para-projetos-8532.html</t>
  </si>
  <si>
    <t xml:space="preserve">cartão R$ 4,17; 2 peças de 37 mm (disjuntor e DPS)</t>
  </si>
  <si>
    <t xml:space="preserve">Minidisjuntor 2 A</t>
  </si>
  <si>
    <t xml:space="preserve">Minidisjuntor Unipolar 2a Mdwp-c2a Weg</t>
  </si>
  <si>
    <t xml:space="preserve">https://www.leroymerlin.com.br/minidisjuntor-unipolar-2a-mdwp-c2a-weg_1572704659</t>
  </si>
  <si>
    <t xml:space="preserve">preço do site</t>
  </si>
  <si>
    <t xml:space="preserve">vendido por Automatize Soluções; frete à parte</t>
  </si>
  <si>
    <t xml:space="preserve">4 bornes de distribuição de 12 V</t>
  </si>
  <si>
    <t xml:space="preserve">Canaleta 20 × 10 mm (barra 2 m)</t>
  </si>
  <si>
    <t xml:space="preserve">Canaleta Pvc 20X10Mm 2M Com Adesivo Preto Forceline</t>
  </si>
  <si>
    <t xml:space="preserve">https://www.telhanorte.com.br/canaleta-pvc-20x10mm-2m-com-adesivo-preto-forceline-2633671/p</t>
  </si>
  <si>
    <t xml:space="preserve">site R$ 10,90; barra de 2 m</t>
  </si>
  <si>
    <t xml:space="preserve">Abraçadeiras 200 mm (100 un)</t>
  </si>
  <si>
    <t xml:space="preserve">Abraçadeira De Nylon 200x2,5mm Preta Com 100 Peças - Vonder</t>
  </si>
  <si>
    <t xml:space="preserve">https://www.leroymerlin.com.br/abracadeira-de-nylon-200x2,5mm-preta-com-100-pecas-vonder_1567218483</t>
  </si>
  <si>
    <t xml:space="preserve">1 pacote por estação; vendido por Zanline</t>
  </si>
  <si>
    <t xml:space="preserve">Etiquetas de endereço</t>
  </si>
  <si>
    <t xml:space="preserve">Kalunga</t>
  </si>
  <si>
    <t xml:space="preserve">Etiqueta ink-jet/laser Carta 33,9x101,6 6182 Pimaco PT 1400 UN</t>
  </si>
  <si>
    <t xml:space="preserve">https://www.kalunga.com.br/prod/etiqueta-ink-jet-laser-carta-33-9x101-6-6182-pimaco-pt-1400-un/278998</t>
  </si>
  <si>
    <t xml:space="preserve">200 etiquetas por estação; a página mostrou indisponível no site</t>
  </si>
  <si>
    <t xml:space="preserve">Switch TL-SG1024DE</t>
  </si>
  <si>
    <t xml:space="preserve">Switch Tp-link Tl-sg1024de 24 Portas 10/100/1000 Gigabit Gerenciavel Rack</t>
  </si>
  <si>
    <t xml:space="preserve">https://www.kabum.com.br/produto/429922/switch-tp-link-tl-sg1024de-24-portas-10-100-1000-gigabit-gerenciavel-rack</t>
  </si>
  <si>
    <t xml:space="preserve">10x R$ 76,93</t>
  </si>
  <si>
    <t xml:space="preserve">Cabo PP 3 × 1,0 mm² (50 m)</t>
  </si>
  <si>
    <t xml:space="preserve">Cabo Pp 3x1,00 Mm Elétrico Flexível Preto - 50 Metros</t>
  </si>
  <si>
    <t xml:space="preserve">https://www.kabum.com.br/produto/722927/cabo-pp-3x1-00-mm-eletrico-flexivel-preto-50-metros</t>
  </si>
  <si>
    <t xml:space="preserve">10x R$ 48,62</t>
  </si>
  <si>
    <t xml:space="preserve">Plugue 2P+T com prensa-cabo (10 un)</t>
  </si>
  <si>
    <t xml:space="preserve">Pino Plug Macho Ilumi Prensa Cabo 2p+t 10a Embalagem Com 10 Unidades</t>
  </si>
  <si>
    <t xml:space="preserve">https://www.leroymerlin.com.br/pino-plug-macho-ilumi-prensa-cabo-2p-t-10a-embalagem-com-10-unidades_1568301310</t>
  </si>
  <si>
    <t xml:space="preserve">vendido por Mtop</t>
  </si>
  <si>
    <t xml:space="preserve">DPS 275 V 20 kA</t>
  </si>
  <si>
    <t xml:space="preserve">Protetor De Surto Dps Classe Ii/iii 20ka 275vca Fase (Embrastec)</t>
  </si>
  <si>
    <t xml:space="preserve">https://www.leroymerlin.com.br/protetor-de-surto-dps-classe-ii-iii-20ka-275vca-fase_1570251308</t>
  </si>
  <si>
    <t xml:space="preserve">vendido por Eletrotécnica Vera Cruz</t>
  </si>
  <si>
    <t xml:space="preserve">Kit rede Nexans</t>
  </si>
  <si>
    <t xml:space="preserve">Kit Cabo De Rede Nexans 40 Metros, Alicate, Testador, 10xrj45, Cat5e</t>
  </si>
  <si>
    <t xml:space="preserve">https://www.kabum.com.br/produto/386101/kit-cabo-de-rede-nexans-40-metros-alicate-testador-10xrj45-cat5e</t>
  </si>
  <si>
    <t xml:space="preserve">10x R$ 28,59</t>
  </si>
  <si>
    <t xml:space="preserve">Estação de solda 60 W</t>
  </si>
  <si>
    <t xml:space="preserve">Estacao De Solda Analogica 60w 220v Hk936a Preta Hikari</t>
  </si>
  <si>
    <t xml:space="preserve">https://www.leroymerlin.com.br/estacao-de-solda-analogica-60w-220v-hk936a-preta-hikari_1566757438</t>
  </si>
  <si>
    <t xml:space="preserve">de R$ 536,90; vendido por 47elétrica</t>
  </si>
  <si>
    <t xml:space="preserve">Multímetro digital</t>
  </si>
  <si>
    <t xml:space="preserve">Multímetro Digital Hikari HM-1001 CAT I 1000V</t>
  </si>
  <si>
    <t xml:space="preserve">https://www.usinainfo.com.br/multimetros/multimetro-digital-hikari-hm-1001-cat-i-1000v-5502.html</t>
  </si>
  <si>
    <t xml:space="preserve">cartão R$ 60,83; últimas unidades</t>
  </si>
  <si>
    <t xml:space="preserve">Estanho 1,0 mm 500 g</t>
  </si>
  <si>
    <t xml:space="preserve">Solda Estanho Cobix 1.0mm 60x40 500g</t>
  </si>
  <si>
    <t xml:space="preserve">https://www.leroymerlin.com.br/solda-estanho-cobix-1-0mm-60x40-500g_1566817011</t>
  </si>
  <si>
    <t xml:space="preserve">de R$ 195,00; vendido por Pd Atacadista</t>
  </si>
  <si>
    <t xml:space="preserve">Nobreak XNB 720 VA</t>
  </si>
  <si>
    <t xml:space="preserve">Nobreak Intelbras XNB, 720VA, Bivolt - 4822010</t>
  </si>
  <si>
    <t xml:space="preserve">https://www.kabum.com.br/produto/229971/nobreak-intelbras-xnb-720va-bivolt-4822010</t>
  </si>
  <si>
    <t xml:space="preserve">normal R$ 697,00; vendido por Kadri Tecnologia</t>
  </si>
  <si>
    <t xml:space="preserve">Mini rack 5U MRM 537</t>
  </si>
  <si>
    <t xml:space="preserve">Mini Rack 05U x 19P x 370mm, Montado MRM 537, Preto - Intelbras</t>
  </si>
  <si>
    <t xml:space="preserve">https://www.kabum.com.br/produto/291255/mini-rack-05u-x-19p-x-370mm-montado-mrm-537-preto-intelbras</t>
  </si>
  <si>
    <t xml:space="preserve">10x R$ 36,10; vendido por MIRANDA</t>
  </si>
  <si>
    <t xml:space="preserve">Organizador de cabos 1U</t>
  </si>
  <si>
    <t xml:space="preserve">Organizador De Cabos Intelbras Och1u 40, Para Rack 1u 40mm, Preto - 4770004</t>
  </si>
  <si>
    <t xml:space="preserve">https://www.kabum.com.br/produto/235380/organizador-de-cabos-intelbras-para-rack-1u-40-mm-och1u-40</t>
  </si>
  <si>
    <t xml:space="preserve">vendido por Digi Mania</t>
  </si>
  <si>
    <t xml:space="preserve">Patch cord Cat5e 1,5 m</t>
  </si>
  <si>
    <t xml:space="preserve">Cabo De Rede Md9 Patch Cord 1.5m Azul Cat5e</t>
  </si>
  <si>
    <t xml:space="preserve">https://www.kabum.com.br/produto/233241/cabo-de-rede-md9-patch-cord-1-5m-azul-cat5e</t>
  </si>
  <si>
    <t xml:space="preserve">normal R$ 8,01; uplink e reserva</t>
  </si>
  <si>
    <t xml:space="preserve">Ponto de tomada 220 V (serviço)</t>
  </si>
  <si>
    <t xml:space="preserve">A cotar</t>
  </si>
  <si>
    <t xml:space="preserve">Material + eletricista, com a manutenção predial</t>
  </si>
  <si>
    <t xml:space="preserve">sem link (a cotar)</t>
  </si>
  <si>
    <t xml:space="preserve">estimativa</t>
  </si>
  <si>
    <t xml:space="preserve">SEM LINK por decisão: serviço a cotar com a manutenção predial</t>
  </si>
  <si>
    <t xml:space="preserve">Sinaleiro LED 22 mm amarelo 12 V</t>
  </si>
  <si>
    <t xml:space="preserve">Luz Automação</t>
  </si>
  <si>
    <t xml:space="preserve">L20-AR9-Y | Sinaleiro Led 22mm - 12vcc/vca - Amarelo | Metaltex</t>
  </si>
  <si>
    <t xml:space="preserve">https://www.luzautomacao.com.br/produto/sinaleiro-led-22mm-12v-amarelo-metaltex</t>
  </si>
  <si>
    <t xml:space="preserve">40 em estoque</t>
  </si>
  <si>
    <t xml:space="preserve">Haste (cantoneira de alumínio 1 m)</t>
  </si>
  <si>
    <t xml:space="preserve">Perfil Aluminio Preto L-013 Cantoneira 1 Pol 25mm Acabamento Canto Parede Barra 1 Mt</t>
  </si>
  <si>
    <t xml:space="preserve">https://www.leroymerlin.com.br/perfil-aluminio-preto-l-013-cantoneira-1-pol-25mm-acabamento-canto-parede-barra-1-mt_1572585517</t>
  </si>
  <si>
    <t xml:space="preserve">a prazo R$ 33,24; 0,5 m por estação</t>
  </si>
  <si>
    <t xml:space="preserve">Transistor BC337 (kit 5)</t>
  </si>
  <si>
    <t xml:space="preserve">Transistor BC337 NPN para Projetos - Kit com 5 unidades</t>
  </si>
  <si>
    <t xml:space="preserve">https://www.usinainfo.com.br/transistor-bc/transistor-bc337-para-projetos-kit-com-5-unidades-2998.html</t>
  </si>
  <si>
    <t xml:space="preserve">cartão R$ 3,45; aciona o sinaleiro pela saída do nó</t>
  </si>
  <si>
    <t xml:space="preserve">Plano de MDF cru 120 × 60 cm</t>
  </si>
  <si>
    <t xml:space="preserve">Key Móveis</t>
  </si>
  <si>
    <t xml:space="preserve">Plano de Mdf Cru 120x60</t>
  </si>
  <si>
    <t xml:space="preserve">https://www.keymoveis.com.br/plano-de-mdf-cru-120x60</t>
  </si>
  <si>
    <t xml:space="preserve">de R$ 54,27; disponível</t>
  </si>
  <si>
    <t xml:space="preserve">Longarina (cantoneira de alumínio 1 m)</t>
  </si>
  <si>
    <t xml:space="preserve">simula a frente da prateleira</t>
  </si>
  <si>
    <t xml:space="preserve">Switch 5 portas TL-SG1005D</t>
  </si>
  <si>
    <t xml:space="preserve">Switch 5 Portas Gigabit - Tp-link Tl-sg1005d</t>
  </si>
  <si>
    <t xml:space="preserve">https://www.kabum.com.br/produto/205611/switch-5-portas-10-100-1000-gigabit-mesa-tl-sg1005d-tp-link</t>
  </si>
  <si>
    <t xml:space="preserve">4x R$ 27,53; vendido por STORN35</t>
  </si>
  <si>
    <t xml:space="preserve">RFID futuro: peças (separado do projeto)</t>
  </si>
  <si>
    <t xml:space="preserve">Melhoria futura, separada do projeto e fora do investimento inicial. Preços consultados em 27/10/2026, com o link de cada componente na aba RFID - Fontes. Piloto = as mesmas estações 04 e 27.</t>
  </si>
  <si>
    <t xml:space="preserve">Qtd piloto (04 e 27)</t>
  </si>
  <si>
    <t xml:space="preserve">Total piloto (R$)</t>
  </si>
  <si>
    <t xml:space="preserve">P22</t>
  </si>
  <si>
    <t xml:space="preserve">Tag NFC NTAG213 adesiva 13,56 MHz</t>
  </si>
  <si>
    <t xml:space="preserve">1 por caixa da frota</t>
  </si>
  <si>
    <t xml:space="preserve">Loja RFID</t>
  </si>
  <si>
    <t xml:space="preserve">P23</t>
  </si>
  <si>
    <t xml:space="preserve">Proteção da tag na caixa (fita transparente sobre a tag)</t>
  </si>
  <si>
    <t xml:space="preserve">P24</t>
  </si>
  <si>
    <t xml:space="preserve">ESP32-C3 Super Mini (pulseira)</t>
  </si>
  <si>
    <t xml:space="preserve">pulseira</t>
  </si>
  <si>
    <t xml:space="preserve">P25</t>
  </si>
  <si>
    <t xml:space="preserve">Módulo leitor NFC PN532</t>
  </si>
  <si>
    <t xml:space="preserve">P26</t>
  </si>
  <si>
    <t xml:space="preserve">Kit energia pulseira (LiPo + carregador TP4056 + motor de vibração + botão)</t>
  </si>
  <si>
    <t xml:space="preserve">4 componentes, aba RFID - Fontes (1 estimado)</t>
  </si>
  <si>
    <t xml:space="preserve">P27</t>
  </si>
  <si>
    <t xml:space="preserve">Carcaça da pulseira (caixa Patola PB-060) + fita de velcro</t>
  </si>
  <si>
    <t xml:space="preserve">2 componentes, aba RFID - Fontes</t>
  </si>
  <si>
    <t xml:space="preserve">P45</t>
  </si>
  <si>
    <t xml:space="preserve">Carregador USB 2 portas para pulseiras (RFID futuro)</t>
  </si>
  <si>
    <t xml:space="preserve">Fundo amarelo: a bateria LiPo do P26 tem link, mas o site não respondeu na consulta; o valor é estimado.</t>
  </si>
  <si>
    <t xml:space="preserve">Tag NFC NTAG213 (100 un)</t>
  </si>
  <si>
    <t xml:space="preserve">Etiqueta RFID 13,56 MHz NFC NTAG213 Branca - 100 unidades</t>
  </si>
  <si>
    <t xml:space="preserve">https://loja.lojarfid.com.br/13-56-mhz-mf/etiquetas/etiqueta-rfid-13-56-mhz-nfc-ntag213-branca-100-unidades</t>
  </si>
  <si>
    <t xml:space="preserve">à vista (boleto)</t>
  </si>
  <si>
    <t xml:space="preserve">normal R$ 249,90; lote de 5.000 deve sair mais barato (pedir cotação)</t>
  </si>
  <si>
    <t xml:space="preserve">Fita transparente 45 mm × 45 m (4 rolos)</t>
  </si>
  <si>
    <t xml:space="preserve">Fita Adesiva Transparente PP, 45mm x 45m, Stick Tape - PT 4 UN</t>
  </si>
  <si>
    <t xml:space="preserve">https://www.kalunga.com.br/prod/fita-adesiva-transparente-pp-45mm-x-45m-stick-tape-pt-4-un/305591</t>
  </si>
  <si>
    <t xml:space="preserve">4 rolos × 45 m ÷ 6 cm por caixa = 3.000 caixas</t>
  </si>
  <si>
    <t xml:space="preserve">ESP32-C3 Super Mini</t>
  </si>
  <si>
    <t xml:space="preserve">ESP32-C3 Super Mini WiFi Bluetooth USB-C com 13 GPIOs</t>
  </si>
  <si>
    <t xml:space="preserve">https://www.usinainfo.com.br/esp32/esp32-c3-super-mini-com-wifi-e-bluetooth-com-usb-c-8967.html</t>
  </si>
  <si>
    <t xml:space="preserve">cartão R$ 31,46; últimas unidades</t>
  </si>
  <si>
    <t xml:space="preserve">Kit leitor PN532</t>
  </si>
  <si>
    <t xml:space="preserve">Kit Módulo Leitor RFID NFC PN532</t>
  </si>
  <si>
    <t xml:space="preserve">https://www.makerhero.com/produto/kit-modulo-leitor-rfid-nfc-pn532/</t>
  </si>
  <si>
    <t xml:space="preserve">normal R$ 44,90; em estoque</t>
  </si>
  <si>
    <t xml:space="preserve">Bateria LiPo 3,7 V ~500 mAh</t>
  </si>
  <si>
    <t xml:space="preserve">RoboCore</t>
  </si>
  <si>
    <t xml:space="preserve">Bateria LiPo 3,7V 530mAh 30C</t>
  </si>
  <si>
    <t xml:space="preserve">https://www.robocore.net/loja/baterias/bateria-lipo-1s-530mah-30c</t>
  </si>
  <si>
    <t xml:space="preserve">estimativa (preço não lido)</t>
  </si>
  <si>
    <t xml:space="preserve">PREÇO NÃO LIDO: o site não respondeu nas consultas de 27/10/2026 e as outras lojas consultadas estavam sem estoque. Valor estimado, confirmar na página antes da compra</t>
  </si>
  <si>
    <t xml:space="preserve">Carregador TP4056 USB-C</t>
  </si>
  <si>
    <t xml:space="preserve">Módulo Carregador de Baterias de Lítio TP4056 com Proteção - USB-C</t>
  </si>
  <si>
    <t xml:space="preserve">https://www.eletrogate.com/modulo-carregador-de-baterias-de-litio-tp4056-com-protecao-usb-c</t>
  </si>
  <si>
    <t xml:space="preserve">normal R$ 4,90</t>
  </si>
  <si>
    <t xml:space="preserve">Motor de vibração 1027</t>
  </si>
  <si>
    <t xml:space="preserve">Micro Motor de Vibração Vibracall 1027</t>
  </si>
  <si>
    <t xml:space="preserve">https://www.eletrogate.com/micro-motor-de-vibracao-vibracall</t>
  </si>
  <si>
    <t xml:space="preserve">normal R$ 4,40</t>
  </si>
  <si>
    <t xml:space="preserve">Chave táctil 6 × 6 mm</t>
  </si>
  <si>
    <t xml:space="preserve">Push Button (Chave Táctil) 6x6x6mm</t>
  </si>
  <si>
    <t xml:space="preserve">https://www.eletrogate.com/push-button-chave-tactil-6x6x6mm</t>
  </si>
  <si>
    <t xml:space="preserve">normal R$ 0,22</t>
  </si>
  <si>
    <t xml:space="preserve">Caixa Patola PB-060</t>
  </si>
  <si>
    <t xml:space="preserve">Caixa Patola PB-060 para Montagem 29 x 52 x 64 mm</t>
  </si>
  <si>
    <t xml:space="preserve">https://www.usinainfo.com.br/caixas-patola/caixa-patola-pb-060-para-montagem-29-x-52-x-64-mm-8284.html</t>
  </si>
  <si>
    <t xml:space="preserve">últimas unidades; cabe o PN532 (43 × 40 mm)</t>
  </si>
  <si>
    <t xml:space="preserve">Fita de velcro 10 mm (rolo 10 m)</t>
  </si>
  <si>
    <t xml:space="preserve">Fita Fecho De Contato | Organizador De Cabos Preto | Rolo 10m X 10mm</t>
  </si>
  <si>
    <t xml:space="preserve">https://www.leroymerlin.com.br/fita-fecho-de-contato-%7C-organizador-de-cabos-preto-%7C-rolo-10m-x-10mm_1571751164</t>
  </si>
  <si>
    <t xml:space="preserve">0,3 m por pulseira; vendido por 47elétrica</t>
  </si>
  <si>
    <t xml:space="preserve">Carregador USB 2 portas</t>
  </si>
  <si>
    <t xml:space="preserve">Carregador De Tomada Universal USB Kaidi, 2 portas, Branco - Kd-301</t>
  </si>
  <si>
    <t xml:space="preserve">https://www.kabum.com.br/produto/394690/carregador-de-tomada-universal-usb-kaidi-carregador-domestico-2-portas-branco-kd-301</t>
  </si>
  <si>
    <t xml:space="preserve">vendido por Assistec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</si>
</sst>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;&quot;(R$ &quot;#,##0.00\);\-"/>
    <numFmt numFmtId="166" formatCode="0"/>
    <numFmt numFmtId="167" formatCode="#,##0.##;\(#,##0.##\);\-"/>
    <numFmt numFmtId="168" formatCode="&quot;R$ &quot;0.0000"/>
    <numFmt numFmtId="169" formatCode="0.00\x"/>
    <numFmt numFmtId="170" formatCode="0.0%;\(0.0%\);\-"/>
    <numFmt numFmtId="171" formatCode="&quot;US$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usinainfo.com.br/display-arduino/modulo-display-tm1637-7-segmentos-4-digitos-vermelho-2943.html" TargetMode="External"/><Relationship Id="rId2" Type="http://schemas.openxmlformats.org/officeDocument/2006/relationships/hyperlink" Target="https://www.usinainfo.com.br/display-arduino/modulo-display-led-8-digitos-com-interface-controle-spi-max7219-4416.html" TargetMode="External"/><Relationship Id="rId3" Type="http://schemas.openxmlformats.org/officeDocument/2006/relationships/hyperlink" Target="https://www.makerhero.com/produto/raspberry-pi-pico/" TargetMode="External"/><Relationship Id="rId4" Type="http://schemas.openxmlformats.org/officeDocument/2006/relationships/hyperlink" Target="https://www.saravati.com.br/modulo-conversor-de-dados-ttl-para-rs485-max485.html" TargetMode="External"/><Relationship Id="rId5" Type="http://schemas.openxmlformats.org/officeDocument/2006/relationships/hyperlink" Target="https://www.sparkfun.com/w5500-evb-pico.html" TargetMode="External"/><Relationship Id="rId6" Type="http://schemas.openxmlformats.org/officeDocument/2006/relationships/hyperlink" Target="https://www.mceig.com.br/produto/lrs-150-12-fonte-chaveada-150w-85-264vca-120-373vcc-saida-12vcc-12-5a-mean-well/" TargetMode="External"/><Relationship Id="rId7" Type="http://schemas.openxmlformats.org/officeDocument/2006/relationships/hyperlink" Target="https://www.saravati.com.br/modulo-mini-conversor-de-tensao-dc-dc-mp1584en-step-down.html" TargetMode="External"/><Relationship Id="rId8" Type="http://schemas.openxmlformats.org/officeDocument/2006/relationships/hyperlink" Target="https://www.usinainfo.com.br/interruptores-e-pulsadores/interruptor-pulsador-16mm-com-led-vermelho-12-24v-em-aco-inox-impermeavel-3134.html" TargetMode="External"/><Relationship Id="rId9" Type="http://schemas.openxmlformats.org/officeDocument/2006/relationships/hyperlink" Target="https://www.multcomercial.com.br/conector-jack-rj45-femea-com-8-vias-blindado-90-pci-jl46057.html" TargetMode="External"/><Relationship Id="rId10" Type="http://schemas.openxmlformats.org/officeDocument/2006/relationships/hyperlink" Target="https://www.kabum.com.br/produto/328777/plug-conector-rj45-macho-cat-5e-8-vias-crimpar-100-unidades-" TargetMode="External"/><Relationship Id="rId11" Type="http://schemas.openxmlformats.org/officeDocument/2006/relationships/hyperlink" Target="https://www.kabum.com.br/produto/114681/cabo-de-rede-cat-5e-furukawa-305-metros-branco-23200101" TargetMode="External"/><Relationship Id="rId12" Type="http://schemas.openxmlformats.org/officeDocument/2006/relationships/hyperlink" Target="https://www.telhanorte.com.br/canaleta-pvc-20x10mm-2m-com-adesivo-preto-forceline-2633671/p" TargetMode="External"/><Relationship Id="rId13" Type="http://schemas.openxmlformats.org/officeDocument/2006/relationships/hyperlink" Target="https://www.kabum.com.br/produto/429922/switch-tp-link-tl-sg1024de-24-portas-10-100-1000-gigabit-gerenciavel-rack" TargetMode="External"/><Relationship Id="rId14" Type="http://schemas.openxmlformats.org/officeDocument/2006/relationships/hyperlink" Target="https://www.kabum.com.br/produto/722927/cabo-pp-3x1-00-mm-eletrico-flexivel-preto-50-metros" TargetMode="External"/><Relationship Id="rId15" Type="http://schemas.openxmlformats.org/officeDocument/2006/relationships/hyperlink" Target="https://www.leroymerlin.com.br/pino-plug-macho-ilumi-prensa-cabo-2p-t-10a-embalagem-com-10-unidades_1568301310" TargetMode="External"/><Relationship Id="rId16" Type="http://schemas.openxmlformats.org/officeDocument/2006/relationships/hyperlink" Target="https://www.leroymerlin.com.br/protetor-de-surto-dps-classe-ii-iii-20ka-275vca-fase_1570251308" TargetMode="External"/><Relationship Id="rId17" Type="http://schemas.openxmlformats.org/officeDocument/2006/relationships/hyperlink" Target="https://www.kabum.com.br/produto/386101/kit-cabo-de-rede-nexans-40-metros-alicate-testador-10xrj45-cat5e" TargetMode="External"/><Relationship Id="rId18" Type="http://schemas.openxmlformats.org/officeDocument/2006/relationships/hyperlink" Target="https://www.kabum.com.br/produto/229971/nobreak-intelbras-xnb-720va-bivolt-4822010" TargetMode="External"/><Relationship Id="rId19" Type="http://schemas.openxmlformats.org/officeDocument/2006/relationships/hyperlink" Target="https://www.kabum.com.br/produto/205611/switch-5-portas-10-100-1000-gigabit-mesa-tl-sg1005d-tp-lin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usinainfo.com.br/display-arduino/modulo-display-tm1637-7-segmentos-4-digitos-vermelho-2943.html" TargetMode="External"/><Relationship Id="rId2" Type="http://schemas.openxmlformats.org/officeDocument/2006/relationships/hyperlink" Target="https://www.usinainfo.com.br/display-arduino/modulo-display-led-8-digitos-com-interface-controle-spi-max7219-4416.html" TargetMode="External"/><Relationship Id="rId3" Type="http://schemas.openxmlformats.org/officeDocument/2006/relationships/hyperlink" Target="https://www.makerhero.com/produto/raspberry-pi-pico/" TargetMode="External"/><Relationship Id="rId4" Type="http://schemas.openxmlformats.org/officeDocument/2006/relationships/hyperlink" Target="https://www.saravati.com.br/modulo-conversor-de-dados-ttl-para-rs485-max485.html" TargetMode="External"/><Relationship Id="rId5" Type="http://schemas.openxmlformats.org/officeDocument/2006/relationships/hyperlink" Target="https://www.sparkfun.com/w5500-evb-pico.html" TargetMode="External"/><Relationship Id="rId6" Type="http://schemas.openxmlformats.org/officeDocument/2006/relationships/hyperlink" Target="https://www.mceig.com.br/produto/lrs-150-12-fonte-chaveada-150w-85-264vca-120-373vcc-saida-12vcc-12-5a-mean-well/" TargetMode="External"/><Relationship Id="rId7" Type="http://schemas.openxmlformats.org/officeDocument/2006/relationships/hyperlink" Target="https://www.mceig.com.br/produto/rsp-150-5-fonte-chaveada-fechada-150w-85-264vca-120-370vcc-saida-5v-30a-mean-well/" TargetMode="External"/><Relationship Id="rId8" Type="http://schemas.openxmlformats.org/officeDocument/2006/relationships/hyperlink" Target="https://www.saravati.com.br/modulo-mini-conversor-de-tensao-dc-dc-mp1584en-step-down.html" TargetMode="External"/><Relationship Id="rId9" Type="http://schemas.openxmlformats.org/officeDocument/2006/relationships/hyperlink" Target="https://www.usinainfo.com.br/interruptores-e-pulsadores/interruptor-pulsador-16mm-com-led-vermelho-12-24v-em-aco-inox-impermeavel-3134.html" TargetMode="External"/><Relationship Id="rId10" Type="http://schemas.openxmlformats.org/officeDocument/2006/relationships/hyperlink" Target="https://www.multcomercial.com.br/conector-jack-rj45-femea-com-8-vias-blindado-90-pci-jl46057.html" TargetMode="External"/><Relationship Id="rId11" Type="http://schemas.openxmlformats.org/officeDocument/2006/relationships/hyperlink" Target="https://www.kabum.com.br/produto/328777/plug-conector-rj45-macho-cat-5e-8-vias-crimpar-100-unidades-" TargetMode="External"/><Relationship Id="rId12" Type="http://schemas.openxmlformats.org/officeDocument/2006/relationships/hyperlink" Target="https://www.kabum.com.br/produto/114681/cabo-de-rede-cat-5e-furukawa-305-metros-branco-23200101" TargetMode="External"/><Relationship Id="rId13" Type="http://schemas.openxmlformats.org/officeDocument/2006/relationships/hyperlink" Target="https://www.eletrogate.com/placa-fenolite-perfurada-7x5cm" TargetMode="External"/><Relationship Id="rId14" Type="http://schemas.openxmlformats.org/officeDocument/2006/relationships/hyperlink" Target="https://www.baudaeletronica.com.br/produto/borne-kre-kf128-2-vias-verde.html" TargetMode="External"/><Relationship Id="rId15" Type="http://schemas.openxmlformats.org/officeDocument/2006/relationships/hyperlink" Target="https://www.usinainfo.com.br/caixas-patola/caixa-patola-pb-22070-para-montagem-71-x-228-x-190-mm-4383.html" TargetMode="External"/><Relationship Id="rId16" Type="http://schemas.openxmlformats.org/officeDocument/2006/relationships/hyperlink" Target="https://www.usinainfo.com.br/coolers-para-pc/cooler-pc-40x40mm-fan-12v-3041.html" TargetMode="External"/><Relationship Id="rId17" Type="http://schemas.openxmlformats.org/officeDocument/2006/relationships/hyperlink" Target="https://www.usinainfo.com.br/coolers-para-pc/grade-para-cooler-40mm-metalica-8398.html" TargetMode="External"/><Relationship Id="rId18" Type="http://schemas.openxmlformats.org/officeDocument/2006/relationships/hyperlink" Target="https://www.usinainfo.com.br/caixas-patola/trilho-din-patola-fdo-037-para-projetos-8532.html" TargetMode="External"/><Relationship Id="rId19" Type="http://schemas.openxmlformats.org/officeDocument/2006/relationships/hyperlink" Target="https://www.leroymerlin.com.br/minidisjuntor-unipolar-2a-mdwp-c2a-weg_1572704659" TargetMode="External"/><Relationship Id="rId20" Type="http://schemas.openxmlformats.org/officeDocument/2006/relationships/hyperlink" Target="https://www.baudaeletronica.com.br/produto/borne-kre-kf128-2-vias-verde.html" TargetMode="External"/><Relationship Id="rId21" Type="http://schemas.openxmlformats.org/officeDocument/2006/relationships/hyperlink" Target="https://www.telhanorte.com.br/canaleta-pvc-20x10mm-2m-com-adesivo-preto-forceline-2633671/p" TargetMode="External"/><Relationship Id="rId22" Type="http://schemas.openxmlformats.org/officeDocument/2006/relationships/hyperlink" Target="https://www.leroymerlin.com.br/abracadeira-de-nylon-200x2,5mm-preta-com-100-pecas-vonder_1567218483" TargetMode="External"/><Relationship Id="rId23" Type="http://schemas.openxmlformats.org/officeDocument/2006/relationships/hyperlink" Target="https://www.kalunga.com.br/prod/etiqueta-ink-jet-laser-carta-33-9x101-6-6182-pimaco-pt-1400-un/278998" TargetMode="External"/><Relationship Id="rId24" Type="http://schemas.openxmlformats.org/officeDocument/2006/relationships/hyperlink" Target="https://www.kabum.com.br/produto/429922/switch-tp-link-tl-sg1024de-24-portas-10-100-1000-gigabit-gerenciavel-rack" TargetMode="External"/><Relationship Id="rId25" Type="http://schemas.openxmlformats.org/officeDocument/2006/relationships/hyperlink" Target="https://www.kabum.com.br/produto/722927/cabo-pp-3x1-00-mm-eletrico-flexivel-preto-50-metros" TargetMode="External"/><Relationship Id="rId26" Type="http://schemas.openxmlformats.org/officeDocument/2006/relationships/hyperlink" Target="https://www.leroymerlin.com.br/pino-plug-macho-ilumi-prensa-cabo-2p-t-10a-embalagem-com-10-unidades_1568301310" TargetMode="External"/><Relationship Id="rId27" Type="http://schemas.openxmlformats.org/officeDocument/2006/relationships/hyperlink" Target="https://www.leroymerlin.com.br/protetor-de-surto-dps-classe-ii-iii-20ka-275vca-fase_1570251308" TargetMode="External"/><Relationship Id="rId28" Type="http://schemas.openxmlformats.org/officeDocument/2006/relationships/hyperlink" Target="https://www.kabum.com.br/produto/386101/kit-cabo-de-rede-nexans-40-metros-alicate-testador-10xrj45-cat5e" TargetMode="External"/><Relationship Id="rId29" Type="http://schemas.openxmlformats.org/officeDocument/2006/relationships/hyperlink" Target="https://www.leroymerlin.com.br/estacao-de-solda-analogica-60w-220v-hk936a-preta-hikari_1566757438" TargetMode="External"/><Relationship Id="rId30" Type="http://schemas.openxmlformats.org/officeDocument/2006/relationships/hyperlink" Target="https://www.usinainfo.com.br/multimetros/multimetro-digital-hikari-hm-1001-cat-i-1000v-5502.html" TargetMode="External"/><Relationship Id="rId31" Type="http://schemas.openxmlformats.org/officeDocument/2006/relationships/hyperlink" Target="https://www.leroymerlin.com.br/solda-estanho-cobix-1-0mm-60x40-500g_1566817011" TargetMode="External"/><Relationship Id="rId32" Type="http://schemas.openxmlformats.org/officeDocument/2006/relationships/hyperlink" Target="https://www.kabum.com.br/produto/229971/nobreak-intelbras-xnb-720va-bivolt-4822010" TargetMode="External"/><Relationship Id="rId33" Type="http://schemas.openxmlformats.org/officeDocument/2006/relationships/hyperlink" Target="https://www.kabum.com.br/produto/291255/mini-rack-05u-x-19p-x-370mm-montado-mrm-537-preto-intelbras" TargetMode="External"/><Relationship Id="rId34" Type="http://schemas.openxmlformats.org/officeDocument/2006/relationships/hyperlink" Target="https://www.kabum.com.br/produto/235380/organizador-de-cabos-intelbras-para-rack-1u-40-mm-och1u-40" TargetMode="External"/><Relationship Id="rId35" Type="http://schemas.openxmlformats.org/officeDocument/2006/relationships/hyperlink" Target="https://www.kabum.com.br/produto/233241/cabo-de-rede-md9-patch-cord-1-5m-azul-cat5e" TargetMode="External"/><Relationship Id="rId36" Type="http://schemas.openxmlformats.org/officeDocument/2006/relationships/hyperlink" Target="https://www.luzautomacao.com.br/produto/sinaleiro-led-22mm-12v-amarelo-metaltex" TargetMode="External"/><Relationship Id="rId37" Type="http://schemas.openxmlformats.org/officeDocument/2006/relationships/hyperlink" Target="https://www.leroymerlin.com.br/perfil-aluminio-preto-l-013-cantoneira-1-pol-25mm-acabamento-canto-parede-barra-1-mt_1572585517" TargetMode="External"/><Relationship Id="rId38" Type="http://schemas.openxmlformats.org/officeDocument/2006/relationships/hyperlink" Target="https://www.usinainfo.com.br/transistor-bc/transistor-bc337-para-projetos-kit-com-5-unidades-2998.html" TargetMode="External"/><Relationship Id="rId39" Type="http://schemas.openxmlformats.org/officeDocument/2006/relationships/hyperlink" Target="https://www.keymoveis.com.br/plano-de-mdf-cru-120x60" TargetMode="External"/><Relationship Id="rId40" Type="http://schemas.openxmlformats.org/officeDocument/2006/relationships/hyperlink" Target="https://www.leroymerlin.com.br/perfil-aluminio-preto-l-013-cantoneira-1-pol-25mm-acabamento-canto-parede-barra-1-mt_1572585517" TargetMode="External"/><Relationship Id="rId41" Type="http://schemas.openxmlformats.org/officeDocument/2006/relationships/hyperlink" Target="https://www.kabum.com.br/produto/205611/switch-5-portas-10-100-1000-gigabit-mesa-tl-sg1005d-tp-link" TargetMode="External"/><Relationship Id="rId42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oja.lojarfid.com.br/13-56-mhz-mf/etiquetas/etiqueta-rfid-13-56-mhz-nfc-ntag213-branca-100-unidades" TargetMode="External"/><Relationship Id="rId2" Type="http://schemas.openxmlformats.org/officeDocument/2006/relationships/hyperlink" Target="https://www.kalunga.com.br/prod/fita-adesiva-transparente-pp-45mm-x-45m-stick-tape-pt-4-un/305591" TargetMode="External"/><Relationship Id="rId3" Type="http://schemas.openxmlformats.org/officeDocument/2006/relationships/hyperlink" Target="https://www.usinainfo.com.br/esp32/esp32-c3-super-mini-com-wifi-e-bluetooth-com-usb-c-8967.html" TargetMode="External"/><Relationship Id="rId4" Type="http://schemas.openxmlformats.org/officeDocument/2006/relationships/hyperlink" Target="https://www.makerhero.com/produto/kit-modulo-leitor-rfid-nfc-pn532/" TargetMode="External"/><Relationship Id="rId5" Type="http://schemas.openxmlformats.org/officeDocument/2006/relationships/hyperlink" Target="https://www.kabum.com.br/produto/394690/carregador-de-tomada-universal-usb-kaidi-carregador-domestico-2-portas-branco-kd-301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loja.lojarfid.com.br/13-56-mhz-mf/etiquetas/etiqueta-rfid-13-56-mhz-nfc-ntag213-branca-100-unidades" TargetMode="External"/><Relationship Id="rId2" Type="http://schemas.openxmlformats.org/officeDocument/2006/relationships/hyperlink" Target="https://www.kalunga.com.br/prod/fita-adesiva-transparente-pp-45mm-x-45m-stick-tape-pt-4-un/305591" TargetMode="External"/><Relationship Id="rId3" Type="http://schemas.openxmlformats.org/officeDocument/2006/relationships/hyperlink" Target="https://www.usinainfo.com.br/esp32/esp32-c3-super-mini-com-wifi-e-bluetooth-com-usb-c-8967.html" TargetMode="External"/><Relationship Id="rId4" Type="http://schemas.openxmlformats.org/officeDocument/2006/relationships/hyperlink" Target="https://www.makerhero.com/produto/kit-modulo-leitor-rfid-nfc-pn532/" TargetMode="External"/><Relationship Id="rId5" Type="http://schemas.openxmlformats.org/officeDocument/2006/relationships/hyperlink" Target="https://www.robocore.net/loja/baterias/bateria-lipo-1s-530mah-30c" TargetMode="External"/><Relationship Id="rId6" Type="http://schemas.openxmlformats.org/officeDocument/2006/relationships/hyperlink" Target="https://www.eletrogate.com/modulo-carregador-de-baterias-de-litio-tp4056-com-protecao-usb-c" TargetMode="External"/><Relationship Id="rId7" Type="http://schemas.openxmlformats.org/officeDocument/2006/relationships/hyperlink" Target="https://www.eletrogate.com/micro-motor-de-vibracao-vibracall" TargetMode="External"/><Relationship Id="rId8" Type="http://schemas.openxmlformats.org/officeDocument/2006/relationships/hyperlink" Target="https://www.eletrogate.com/push-button-chave-tactil-6x6x6mm" TargetMode="External"/><Relationship Id="rId9" Type="http://schemas.openxmlformats.org/officeDocument/2006/relationships/hyperlink" Target="https://www.usinainfo.com.br/caixas-patola/caixa-patola-pb-060-para-montagem-29-x-52-x-64-mm-8284.html" TargetMode="External"/><Relationship Id="rId10" Type="http://schemas.openxmlformats.org/officeDocument/2006/relationships/hyperlink" Target="https://www.leroymerlin.com.br/fita-fecho-de-contato-%7C-organizador-de-cabos-preto-%7C-rolo-10m-x-10mm_1571751164" TargetMode="External"/><Relationship Id="rId11" Type="http://schemas.openxmlformats.org/officeDocument/2006/relationships/hyperlink" Target="https://www.kabum.com.br/produto/394690/carregador-de-tomada-universal-usb-kaidi-carregador-domestico-2-portas-branco-kd-301" TargetMode="External"/><Relationship Id="rId1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Peças!G36</f>
        <v>14698.9184771926</v>
      </c>
      <c r="C5" s="5" t="n">
        <f aca="false">Peças!H36</f>
        <v>223030.137479754</v>
      </c>
      <c r="D5" s="6" t="s">
        <v>7</v>
      </c>
    </row>
    <row r="7" customFormat="false" ht="15" hidden="false" customHeight="false" outlineLevel="0" collapsed="false">
      <c r="A7" s="7" t="s">
        <v>8</v>
      </c>
    </row>
    <row r="8" customFormat="false" ht="15" hidden="false" customHeight="false" outlineLevel="0" collapsed="false">
      <c r="A8" s="4" t="s">
        <v>9</v>
      </c>
      <c r="B8" s="8" t="n">
        <v>44</v>
      </c>
    </row>
    <row r="9" customFormat="false" ht="15" hidden="false" customHeight="false" outlineLevel="0" collapsed="false">
      <c r="A9" s="4" t="s">
        <v>10</v>
      </c>
      <c r="B9" s="8" t="n">
        <v>41</v>
      </c>
    </row>
    <row r="10" customFormat="false" ht="15" hidden="false" customHeight="false" outlineLevel="0" collapsed="false">
      <c r="A10" s="4" t="s">
        <v>11</v>
      </c>
      <c r="B10" s="8" t="n">
        <v>3</v>
      </c>
    </row>
    <row r="11" customFormat="false" ht="15" hidden="false" customHeight="false" outlineLevel="0" collapsed="false">
      <c r="A11" s="4" t="s">
        <v>12</v>
      </c>
      <c r="B11" s="8" t="n">
        <v>0</v>
      </c>
    </row>
    <row r="13" customFormat="false" ht="31.5" hidden="false" customHeight="true" outlineLevel="0" collapsed="false">
      <c r="A13" s="3" t="s">
        <v>13</v>
      </c>
      <c r="B13" s="3" t="s">
        <v>14</v>
      </c>
      <c r="C13" s="3" t="s">
        <v>4</v>
      </c>
      <c r="D13" s="3" t="s">
        <v>5</v>
      </c>
    </row>
    <row r="14" customFormat="false" ht="15" hidden="false" customHeight="false" outlineLevel="0" collapsed="false">
      <c r="A14" s="4" t="s">
        <v>15</v>
      </c>
      <c r="B14" s="5" t="n">
        <f aca="false">'RFID - Peças'!G13</f>
        <v>1276.15425</v>
      </c>
      <c r="C14" s="5" t="n">
        <f aca="false">'RFID - Peças'!H13</f>
        <v>24098.0628</v>
      </c>
      <c r="D14" s="6" t="s">
        <v>16</v>
      </c>
    </row>
    <row r="16" customFormat="false" ht="15" hidden="false" customHeight="false" outlineLevel="0" collapsed="false">
      <c r="A16" s="7" t="s">
        <v>17</v>
      </c>
    </row>
    <row r="17" customFormat="false" ht="15" hidden="false" customHeight="false" outlineLevel="0" collapsed="false">
      <c r="A17" s="4" t="s">
        <v>9</v>
      </c>
      <c r="B17" s="8" t="n">
        <v>11</v>
      </c>
    </row>
    <row r="18" customFormat="false" ht="15" hidden="false" customHeight="false" outlineLevel="0" collapsed="false">
      <c r="A18" s="4" t="s">
        <v>10</v>
      </c>
      <c r="B18" s="8" t="n">
        <v>10</v>
      </c>
    </row>
    <row r="19" customFormat="false" ht="15" hidden="false" customHeight="false" outlineLevel="0" collapsed="false">
      <c r="A19" s="4" t="s">
        <v>11</v>
      </c>
      <c r="B19" s="8" t="n">
        <v>0</v>
      </c>
    </row>
    <row r="20" customFormat="false" ht="15" hidden="false" customHeight="false" outlineLevel="0" collapsed="false">
      <c r="A20" s="4" t="s">
        <v>12</v>
      </c>
      <c r="B20" s="8" t="n">
        <v>1</v>
      </c>
    </row>
    <row r="22" customFormat="false" ht="42" hidden="false" customHeight="true" outlineLevel="0" collapsed="false">
      <c r="A22" s="2" t="s">
        <v>18</v>
      </c>
      <c r="B22" s="2"/>
      <c r="C22" s="2"/>
      <c r="D22" s="2"/>
    </row>
    <row r="23" customFormat="false" ht="27.75" hidden="false" customHeight="true" outlineLevel="0" collapsed="false">
      <c r="A23" s="2" t="s">
        <v>19</v>
      </c>
      <c r="B23" s="2"/>
      <c r="C23" s="2"/>
      <c r="D23" s="2"/>
    </row>
  </sheetData>
  <mergeCells count="3">
    <mergeCell ref="A2:D2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6"/>
    <col collapsed="false" customWidth="true" hidden="false" outlineLevel="0" max="9" min="9" style="0" width="3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20</v>
      </c>
    </row>
    <row r="2" customFormat="false" ht="39.7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3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</row>
    <row r="5" customFormat="false" ht="23.85" hidden="false" customHeight="false" outlineLevel="0" collapsed="false">
      <c r="A5" s="4" t="s">
        <v>32</v>
      </c>
      <c r="B5" s="9" t="s">
        <v>33</v>
      </c>
      <c r="C5" s="4" t="s">
        <v>34</v>
      </c>
      <c r="D5" s="5" t="n">
        <f aca="false">SUMIF(Fontes!$A$2:$A$45,A5,Fontes!$J$2:$J$45)</f>
        <v>10.97</v>
      </c>
      <c r="E5" s="10" t="n">
        <v>85</v>
      </c>
      <c r="F5" s="10" t="n">
        <v>1685</v>
      </c>
      <c r="G5" s="11" t="n">
        <f aca="false">D5*E5</f>
        <v>932.45</v>
      </c>
      <c r="H5" s="11" t="n">
        <f aca="false">D5*F5</f>
        <v>18484.45</v>
      </c>
      <c r="I5" s="6" t="s">
        <v>35</v>
      </c>
      <c r="J5" s="12" t="s">
        <v>36</v>
      </c>
    </row>
    <row r="6" customFormat="false" ht="15" hidden="false" customHeight="false" outlineLevel="0" collapsed="false">
      <c r="A6" s="4" t="s">
        <v>37</v>
      </c>
      <c r="B6" s="9" t="s">
        <v>38</v>
      </c>
      <c r="C6" s="4" t="s">
        <v>34</v>
      </c>
      <c r="D6" s="5" t="n">
        <f aca="false">SUMIF(Fontes!$A$2:$A$45,A6,Fontes!$J$2:$J$45)</f>
        <v>20.17</v>
      </c>
      <c r="E6" s="10" t="n">
        <v>14</v>
      </c>
      <c r="F6" s="10" t="n">
        <v>277</v>
      </c>
      <c r="G6" s="11" t="n">
        <f aca="false">D6*E6</f>
        <v>282.38</v>
      </c>
      <c r="H6" s="11" t="n">
        <f aca="false">D6*F6</f>
        <v>5587.09</v>
      </c>
      <c r="I6" s="6" t="s">
        <v>39</v>
      </c>
      <c r="J6" s="12" t="s">
        <v>36</v>
      </c>
    </row>
    <row r="7" customFormat="false" ht="15" hidden="false" customHeight="false" outlineLevel="0" collapsed="false">
      <c r="A7" s="4" t="s">
        <v>40</v>
      </c>
      <c r="B7" s="9" t="s">
        <v>41</v>
      </c>
      <c r="C7" s="4" t="s">
        <v>34</v>
      </c>
      <c r="D7" s="5" t="n">
        <f aca="false">SUMIF(Fontes!$A$2:$A$45,A7,Fontes!$J$2:$J$45)</f>
        <v>37.9</v>
      </c>
      <c r="E7" s="10" t="n">
        <v>36</v>
      </c>
      <c r="F7" s="10" t="n">
        <v>717</v>
      </c>
      <c r="G7" s="11" t="n">
        <f aca="false">D7*E7</f>
        <v>1364.4</v>
      </c>
      <c r="H7" s="11" t="n">
        <f aca="false">D7*F7</f>
        <v>27174.3</v>
      </c>
      <c r="I7" s="6" t="s">
        <v>42</v>
      </c>
      <c r="J7" s="12" t="s">
        <v>43</v>
      </c>
    </row>
    <row r="8" customFormat="false" ht="22.35" hidden="false" customHeight="false" outlineLevel="0" collapsed="false">
      <c r="A8" s="4" t="s">
        <v>44</v>
      </c>
      <c r="B8" s="9" t="s">
        <v>45</v>
      </c>
      <c r="C8" s="4" t="s">
        <v>34</v>
      </c>
      <c r="D8" s="5" t="n">
        <f aca="false">SUMIF(Fontes!$A$2:$A$45,A8,Fontes!$J$2:$J$45)</f>
        <v>8.9</v>
      </c>
      <c r="E8" s="10" t="n">
        <v>42</v>
      </c>
      <c r="F8" s="10" t="n">
        <v>805</v>
      </c>
      <c r="G8" s="11" t="n">
        <f aca="false">D8*E8</f>
        <v>373.8</v>
      </c>
      <c r="H8" s="11" t="n">
        <f aca="false">D8*F8</f>
        <v>7164.5</v>
      </c>
      <c r="I8" s="6" t="s">
        <v>46</v>
      </c>
      <c r="J8" s="12" t="s">
        <v>47</v>
      </c>
    </row>
    <row r="9" customFormat="false" ht="23.85" hidden="false" customHeight="false" outlineLevel="0" collapsed="false">
      <c r="A9" s="4" t="s">
        <v>48</v>
      </c>
      <c r="B9" s="9" t="s">
        <v>49</v>
      </c>
      <c r="C9" s="4" t="s">
        <v>34</v>
      </c>
      <c r="D9" s="5" t="n">
        <f aca="false">SUMIF(Fontes!$A$2:$A$45,A9,Fontes!$J$2:$J$45)</f>
        <v>119.631125</v>
      </c>
      <c r="E9" s="10" t="n">
        <v>3</v>
      </c>
      <c r="F9" s="10" t="n">
        <v>44</v>
      </c>
      <c r="G9" s="11" t="n">
        <f aca="false">D9*E9</f>
        <v>358.893375</v>
      </c>
      <c r="H9" s="11" t="n">
        <f aca="false">D9*F9</f>
        <v>5263.7695</v>
      </c>
      <c r="I9" s="6" t="s">
        <v>50</v>
      </c>
      <c r="J9" s="12" t="s">
        <v>51</v>
      </c>
    </row>
    <row r="10" customFormat="false" ht="15" hidden="false" customHeight="false" outlineLevel="0" collapsed="false">
      <c r="A10" s="4" t="s">
        <v>52</v>
      </c>
      <c r="B10" s="9" t="s">
        <v>53</v>
      </c>
      <c r="C10" s="4" t="s">
        <v>34</v>
      </c>
      <c r="D10" s="5" t="n">
        <f aca="false">SUMIF(Fontes!$A$2:$A$45,A10,Fontes!$J$2:$J$45)</f>
        <v>189.98</v>
      </c>
      <c r="E10" s="10" t="n">
        <v>3</v>
      </c>
      <c r="F10" s="10" t="n">
        <v>44</v>
      </c>
      <c r="G10" s="11" t="n">
        <f aca="false">D10*E10</f>
        <v>569.94</v>
      </c>
      <c r="H10" s="11" t="n">
        <f aca="false">D10*F10</f>
        <v>8359.12</v>
      </c>
      <c r="I10" s="6" t="s">
        <v>50</v>
      </c>
      <c r="J10" s="12" t="s">
        <v>54</v>
      </c>
    </row>
    <row r="11" customFormat="false" ht="15" hidden="false" customHeight="false" outlineLevel="0" collapsed="false">
      <c r="A11" s="4" t="s">
        <v>55</v>
      </c>
      <c r="B11" s="9" t="s">
        <v>56</v>
      </c>
      <c r="C11" s="4" t="s">
        <v>34</v>
      </c>
      <c r="D11" s="5" t="n">
        <f aca="false">SUMIF(Fontes!$A$2:$A$45,A11,Fontes!$J$2:$J$45)</f>
        <v>10.9</v>
      </c>
      <c r="E11" s="10" t="n">
        <v>39</v>
      </c>
      <c r="F11" s="10" t="n">
        <v>761</v>
      </c>
      <c r="G11" s="11" t="n">
        <f aca="false">D11*E11</f>
        <v>425.1</v>
      </c>
      <c r="H11" s="11" t="n">
        <f aca="false">D11*F11</f>
        <v>8294.9</v>
      </c>
      <c r="I11" s="6" t="s">
        <v>57</v>
      </c>
      <c r="J11" s="12" t="s">
        <v>47</v>
      </c>
    </row>
    <row r="12" customFormat="false" ht="23.85" hidden="false" customHeight="false" outlineLevel="0" collapsed="false">
      <c r="A12" s="4" t="s">
        <v>58</v>
      </c>
      <c r="B12" s="9" t="s">
        <v>59</v>
      </c>
      <c r="C12" s="4" t="s">
        <v>34</v>
      </c>
      <c r="D12" s="5" t="n">
        <f aca="false">SUMIF(Fontes!$A$2:$A$45,A12,Fontes!$J$2:$J$45)</f>
        <v>20.75</v>
      </c>
      <c r="E12" s="10" t="n">
        <v>85</v>
      </c>
      <c r="F12" s="10" t="n">
        <v>1685</v>
      </c>
      <c r="G12" s="11" t="n">
        <f aca="false">D12*E12</f>
        <v>1763.75</v>
      </c>
      <c r="H12" s="11" t="n">
        <f aca="false">D12*F12</f>
        <v>34963.75</v>
      </c>
      <c r="I12" s="6" t="s">
        <v>35</v>
      </c>
      <c r="J12" s="12" t="s">
        <v>36</v>
      </c>
    </row>
    <row r="13" customFormat="false" ht="22.35" hidden="false" customHeight="false" outlineLevel="0" collapsed="false">
      <c r="A13" s="4" t="s">
        <v>60</v>
      </c>
      <c r="B13" s="9" t="s">
        <v>61</v>
      </c>
      <c r="C13" s="4" t="s">
        <v>34</v>
      </c>
      <c r="D13" s="5" t="n">
        <f aca="false">SUMIF(Fontes!$A$2:$A$45,A13,Fontes!$J$2:$J$45)</f>
        <v>4.5</v>
      </c>
      <c r="E13" s="10" t="n">
        <v>237</v>
      </c>
      <c r="F13" s="10" t="n">
        <v>4690</v>
      </c>
      <c r="G13" s="11" t="n">
        <f aca="false">D13*E13</f>
        <v>1066.5</v>
      </c>
      <c r="H13" s="11" t="n">
        <f aca="false">D13*F13</f>
        <v>21105</v>
      </c>
      <c r="I13" s="6" t="s">
        <v>62</v>
      </c>
      <c r="J13" s="12" t="s">
        <v>63</v>
      </c>
    </row>
    <row r="14" customFormat="false" ht="15" hidden="false" customHeight="false" outlineLevel="0" collapsed="false">
      <c r="A14" s="4" t="s">
        <v>64</v>
      </c>
      <c r="B14" s="9" t="s">
        <v>65</v>
      </c>
      <c r="C14" s="4" t="s">
        <v>34</v>
      </c>
      <c r="D14" s="5" t="n">
        <f aca="false">SUMIF(Fontes!$A$2:$A$45,A14,Fontes!$J$2:$J$45)</f>
        <v>0.7099</v>
      </c>
      <c r="E14" s="10" t="n">
        <v>234</v>
      </c>
      <c r="F14" s="10" t="n">
        <v>4278</v>
      </c>
      <c r="G14" s="11" t="n">
        <f aca="false">D14*E14</f>
        <v>166.1166</v>
      </c>
      <c r="H14" s="11" t="n">
        <f aca="false">D14*F14</f>
        <v>3036.9522</v>
      </c>
      <c r="I14" s="6" t="s">
        <v>66</v>
      </c>
      <c r="J14" s="12" t="s">
        <v>67</v>
      </c>
    </row>
    <row r="15" customFormat="false" ht="22.35" hidden="false" customHeight="false" outlineLevel="0" collapsed="false">
      <c r="A15" s="4" t="s">
        <v>68</v>
      </c>
      <c r="B15" s="9" t="s">
        <v>69</v>
      </c>
      <c r="C15" s="4" t="s">
        <v>70</v>
      </c>
      <c r="D15" s="5" t="n">
        <f aca="false">SUMIF(Fontes!$A$2:$A$45,A15,Fontes!$J$2:$J$45)</f>
        <v>2.62262295081967</v>
      </c>
      <c r="E15" s="10" t="n">
        <v>462</v>
      </c>
      <c r="F15" s="10" t="n">
        <v>7409</v>
      </c>
      <c r="G15" s="11" t="n">
        <f aca="false">D15*E15</f>
        <v>1211.65180327869</v>
      </c>
      <c r="H15" s="11" t="n">
        <f aca="false">D15*F15</f>
        <v>19431.013442623</v>
      </c>
      <c r="I15" s="6" t="s">
        <v>71</v>
      </c>
      <c r="J15" s="12" t="s">
        <v>67</v>
      </c>
    </row>
    <row r="16" customFormat="false" ht="23.85" hidden="false" customHeight="false" outlineLevel="0" collapsed="false">
      <c r="A16" s="4" t="s">
        <v>72</v>
      </c>
      <c r="B16" s="9" t="s">
        <v>73</v>
      </c>
      <c r="C16" s="4" t="s">
        <v>34</v>
      </c>
      <c r="D16" s="13" t="n">
        <f aca="false">SUMIF(Fontes!$A$2:$A$45,A16,Fontes!$J$2:$J$45)</f>
        <v>5</v>
      </c>
      <c r="E16" s="10" t="n">
        <v>71</v>
      </c>
      <c r="F16" s="10" t="n">
        <v>1408</v>
      </c>
      <c r="G16" s="11" t="n">
        <f aca="false">D16*E16</f>
        <v>355</v>
      </c>
      <c r="H16" s="11" t="n">
        <f aca="false">D16*F16</f>
        <v>7040</v>
      </c>
      <c r="I16" s="6" t="s">
        <v>74</v>
      </c>
      <c r="J16" s="14" t="s">
        <v>75</v>
      </c>
    </row>
    <row r="17" customFormat="false" ht="23.85" hidden="false" customHeight="false" outlineLevel="0" collapsed="false">
      <c r="A17" s="4" t="s">
        <v>76</v>
      </c>
      <c r="B17" s="9" t="s">
        <v>77</v>
      </c>
      <c r="C17" s="4" t="s">
        <v>34</v>
      </c>
      <c r="D17" s="13" t="n">
        <f aca="false">SUMIF(Fontes!$A$2:$A$45,A17,Fontes!$J$2:$J$45)</f>
        <v>15</v>
      </c>
      <c r="E17" s="10" t="n">
        <v>36</v>
      </c>
      <c r="F17" s="10" t="n">
        <v>717</v>
      </c>
      <c r="G17" s="11" t="n">
        <f aca="false">D17*E17</f>
        <v>540</v>
      </c>
      <c r="H17" s="11" t="n">
        <f aca="false">D17*F17</f>
        <v>10755</v>
      </c>
      <c r="I17" s="6" t="s">
        <v>42</v>
      </c>
      <c r="J17" s="14" t="s">
        <v>75</v>
      </c>
    </row>
    <row r="18" customFormat="false" ht="23.85" hidden="false" customHeight="false" outlineLevel="0" collapsed="false">
      <c r="A18" s="4" t="s">
        <v>78</v>
      </c>
      <c r="B18" s="9" t="s">
        <v>79</v>
      </c>
      <c r="C18" s="4" t="s">
        <v>34</v>
      </c>
      <c r="D18" s="5" t="n">
        <f aca="false">SUMIF(Fontes!$A$2:$A$45,A18,Fontes!$J$2:$J$45)</f>
        <v>4.72</v>
      </c>
      <c r="E18" s="10" t="n">
        <v>36</v>
      </c>
      <c r="F18" s="10" t="n">
        <v>717</v>
      </c>
      <c r="G18" s="11" t="n">
        <f aca="false">D18*E18</f>
        <v>169.92</v>
      </c>
      <c r="H18" s="11" t="n">
        <f aca="false">D18*F18</f>
        <v>3384.24</v>
      </c>
      <c r="I18" s="6" t="s">
        <v>42</v>
      </c>
      <c r="J18" s="9" t="s">
        <v>80</v>
      </c>
    </row>
    <row r="19" customFormat="false" ht="23.85" hidden="false" customHeight="false" outlineLevel="0" collapsed="false">
      <c r="A19" s="4" t="s">
        <v>81</v>
      </c>
      <c r="B19" s="9" t="s">
        <v>82</v>
      </c>
      <c r="C19" s="4" t="s">
        <v>34</v>
      </c>
      <c r="D19" s="5" t="n">
        <f aca="false">SUMIF(Fontes!$A$2:$A$45,A19,Fontes!$J$2:$J$45)</f>
        <v>187.52</v>
      </c>
      <c r="E19" s="10" t="n">
        <v>3</v>
      </c>
      <c r="F19" s="10" t="n">
        <v>44</v>
      </c>
      <c r="G19" s="11" t="n">
        <f aca="false">D19*E19</f>
        <v>562.56</v>
      </c>
      <c r="H19" s="11" t="n">
        <f aca="false">D19*F19</f>
        <v>8250.88</v>
      </c>
      <c r="I19" s="6" t="s">
        <v>50</v>
      </c>
      <c r="J19" s="9" t="s">
        <v>83</v>
      </c>
    </row>
    <row r="20" customFormat="false" ht="15" hidden="false" customHeight="false" outlineLevel="0" collapsed="false">
      <c r="A20" s="4" t="s">
        <v>84</v>
      </c>
      <c r="B20" s="9" t="s">
        <v>85</v>
      </c>
      <c r="C20" s="4" t="s">
        <v>86</v>
      </c>
      <c r="D20" s="5" t="n">
        <f aca="false">SUMIF(Fontes!$A$2:$A$45,A20,Fontes!$J$2:$J$45)</f>
        <v>40.7</v>
      </c>
      <c r="E20" s="10" t="n">
        <v>3</v>
      </c>
      <c r="F20" s="10" t="n">
        <v>44</v>
      </c>
      <c r="G20" s="11" t="n">
        <f aca="false">D20*E20</f>
        <v>122.1</v>
      </c>
      <c r="H20" s="11" t="n">
        <f aca="false">D20*F20</f>
        <v>1790.8</v>
      </c>
      <c r="I20" s="6" t="s">
        <v>50</v>
      </c>
      <c r="J20" s="9" t="s">
        <v>83</v>
      </c>
    </row>
    <row r="21" customFormat="false" ht="15" hidden="false" customHeight="false" outlineLevel="0" collapsed="false">
      <c r="A21" s="4" t="s">
        <v>87</v>
      </c>
      <c r="B21" s="9" t="s">
        <v>88</v>
      </c>
      <c r="C21" s="4" t="s">
        <v>70</v>
      </c>
      <c r="D21" s="5" t="n">
        <f aca="false">SUMIF(Fontes!$A$2:$A$45,A21,Fontes!$J$2:$J$45)</f>
        <v>4.36</v>
      </c>
      <c r="E21" s="10" t="n">
        <v>54</v>
      </c>
      <c r="F21" s="10" t="n">
        <v>1080</v>
      </c>
      <c r="G21" s="11" t="n">
        <f aca="false">D21*E21</f>
        <v>235.44</v>
      </c>
      <c r="H21" s="11" t="n">
        <f aca="false">D21*F21</f>
        <v>4708.8</v>
      </c>
      <c r="I21" s="6" t="s">
        <v>89</v>
      </c>
      <c r="J21" s="12" t="s">
        <v>90</v>
      </c>
    </row>
    <row r="22" customFormat="false" ht="15" hidden="false" customHeight="false" outlineLevel="0" collapsed="false">
      <c r="A22" s="4" t="s">
        <v>91</v>
      </c>
      <c r="B22" s="9" t="s">
        <v>92</v>
      </c>
      <c r="C22" s="4" t="s">
        <v>86</v>
      </c>
      <c r="D22" s="5" t="n">
        <f aca="false">SUMIF(Fontes!$A$2:$A$45,A22,Fontes!$J$2:$J$45)</f>
        <v>28.52</v>
      </c>
      <c r="E22" s="10" t="n">
        <v>2</v>
      </c>
      <c r="F22" s="10" t="n">
        <v>40</v>
      </c>
      <c r="G22" s="11" t="n">
        <f aca="false">D22*E22</f>
        <v>57.04</v>
      </c>
      <c r="H22" s="11" t="n">
        <f aca="false">D22*F22</f>
        <v>1140.8</v>
      </c>
      <c r="I22" s="6" t="s">
        <v>93</v>
      </c>
      <c r="J22" s="9" t="s">
        <v>80</v>
      </c>
    </row>
    <row r="23" customFormat="false" ht="15" hidden="false" customHeight="false" outlineLevel="0" collapsed="false">
      <c r="A23" s="4" t="s">
        <v>94</v>
      </c>
      <c r="B23" s="9" t="s">
        <v>95</v>
      </c>
      <c r="C23" s="4" t="s">
        <v>34</v>
      </c>
      <c r="D23" s="5" t="n">
        <f aca="false">SUMIF(Fontes!$A$2:$A$45,A23,Fontes!$J$2:$J$45)</f>
        <v>769.32</v>
      </c>
      <c r="E23" s="10" t="n">
        <v>1</v>
      </c>
      <c r="F23" s="10" t="n">
        <v>2</v>
      </c>
      <c r="G23" s="11" t="n">
        <f aca="false">D23*E23</f>
        <v>769.32</v>
      </c>
      <c r="H23" s="11" t="n">
        <f aca="false">D23*F23</f>
        <v>1538.64</v>
      </c>
      <c r="I23" s="6" t="s">
        <v>96</v>
      </c>
      <c r="J23" s="12" t="s">
        <v>67</v>
      </c>
    </row>
    <row r="24" customFormat="false" ht="15" hidden="false" customHeight="false" outlineLevel="0" collapsed="false">
      <c r="A24" s="4" t="s">
        <v>97</v>
      </c>
      <c r="B24" s="9" t="s">
        <v>98</v>
      </c>
      <c r="C24" s="4" t="s">
        <v>70</v>
      </c>
      <c r="D24" s="5" t="n">
        <f aca="false">SUMIF(Fontes!$A$2:$A$45,A24,Fontes!$J$2:$J$45)</f>
        <v>9.2378</v>
      </c>
      <c r="E24" s="10" t="n">
        <v>9</v>
      </c>
      <c r="F24" s="10" t="n">
        <v>132</v>
      </c>
      <c r="G24" s="11" t="n">
        <f aca="false">D24*E24</f>
        <v>83.1402</v>
      </c>
      <c r="H24" s="11" t="n">
        <f aca="false">D24*F24</f>
        <v>1219.3896</v>
      </c>
      <c r="I24" s="6" t="s">
        <v>99</v>
      </c>
      <c r="J24" s="12" t="s">
        <v>67</v>
      </c>
    </row>
    <row r="25" customFormat="false" ht="15" hidden="false" customHeight="false" outlineLevel="0" collapsed="false">
      <c r="A25" s="4" t="s">
        <v>100</v>
      </c>
      <c r="B25" s="9" t="s">
        <v>101</v>
      </c>
      <c r="C25" s="4" t="s">
        <v>34</v>
      </c>
      <c r="D25" s="5" t="n">
        <f aca="false">SUMIF(Fontes!$A$2:$A$45,A25,Fontes!$J$2:$J$45)</f>
        <v>6.495</v>
      </c>
      <c r="E25" s="10" t="n">
        <v>3</v>
      </c>
      <c r="F25" s="10" t="n">
        <v>44</v>
      </c>
      <c r="G25" s="11" t="n">
        <f aca="false">D25*E25</f>
        <v>19.485</v>
      </c>
      <c r="H25" s="11" t="n">
        <f aca="false">D25*F25</f>
        <v>285.78</v>
      </c>
      <c r="I25" s="6" t="s">
        <v>102</v>
      </c>
      <c r="J25" s="12" t="s">
        <v>103</v>
      </c>
    </row>
    <row r="26" customFormat="false" ht="15" hidden="false" customHeight="false" outlineLevel="0" collapsed="false">
      <c r="A26" s="4" t="s">
        <v>104</v>
      </c>
      <c r="B26" s="9" t="s">
        <v>105</v>
      </c>
      <c r="C26" s="4" t="s">
        <v>34</v>
      </c>
      <c r="D26" s="5" t="n">
        <f aca="false">SUMIF(Fontes!$A$2:$A$45,A26,Fontes!$J$2:$J$45)</f>
        <v>64</v>
      </c>
      <c r="E26" s="10" t="n">
        <v>3</v>
      </c>
      <c r="F26" s="10" t="n">
        <v>44</v>
      </c>
      <c r="G26" s="11" t="n">
        <f aca="false">D26*E26</f>
        <v>192</v>
      </c>
      <c r="H26" s="11" t="n">
        <f aca="false">D26*F26</f>
        <v>2816</v>
      </c>
      <c r="I26" s="6" t="s">
        <v>102</v>
      </c>
      <c r="J26" s="12" t="s">
        <v>103</v>
      </c>
    </row>
    <row r="27" customFormat="false" ht="23.85" hidden="false" customHeight="false" outlineLevel="0" collapsed="false">
      <c r="A27" s="4" t="s">
        <v>106</v>
      </c>
      <c r="B27" s="9" t="s">
        <v>107</v>
      </c>
      <c r="C27" s="4" t="s">
        <v>86</v>
      </c>
      <c r="D27" s="5" t="n">
        <f aca="false">SUMIF(Fontes!$A$2:$A$45,A27,Fontes!$J$2:$J$45)</f>
        <v>285.99</v>
      </c>
      <c r="E27" s="10" t="n">
        <v>1</v>
      </c>
      <c r="F27" s="10" t="n">
        <v>1</v>
      </c>
      <c r="G27" s="11" t="n">
        <f aca="false">D27*E27</f>
        <v>285.99</v>
      </c>
      <c r="H27" s="11" t="n">
        <f aca="false">D27*F27</f>
        <v>285.99</v>
      </c>
      <c r="I27" s="6" t="s">
        <v>108</v>
      </c>
      <c r="J27" s="12" t="s">
        <v>67</v>
      </c>
    </row>
    <row r="28" customFormat="false" ht="23.85" hidden="false" customHeight="false" outlineLevel="0" collapsed="false">
      <c r="A28" s="4" t="s">
        <v>109</v>
      </c>
      <c r="B28" s="9" t="s">
        <v>110</v>
      </c>
      <c r="C28" s="4" t="s">
        <v>86</v>
      </c>
      <c r="D28" s="5" t="n">
        <f aca="false">SUMIF(Fontes!$A$2:$A$45,A28,Fontes!$J$2:$J$45)</f>
        <v>705.69</v>
      </c>
      <c r="E28" s="10" t="n">
        <v>1</v>
      </c>
      <c r="F28" s="10" t="n">
        <v>1</v>
      </c>
      <c r="G28" s="11" t="n">
        <f aca="false">D28*E28</f>
        <v>705.69</v>
      </c>
      <c r="H28" s="11" t="n">
        <f aca="false">D28*F28</f>
        <v>705.69</v>
      </c>
      <c r="I28" s="6" t="s">
        <v>108</v>
      </c>
      <c r="J28" s="9" t="s">
        <v>83</v>
      </c>
    </row>
    <row r="29" customFormat="false" ht="15" hidden="false" customHeight="false" outlineLevel="0" collapsed="false">
      <c r="A29" s="4" t="s">
        <v>111</v>
      </c>
      <c r="B29" s="9" t="s">
        <v>112</v>
      </c>
      <c r="C29" s="4" t="s">
        <v>34</v>
      </c>
      <c r="D29" s="5" t="n">
        <f aca="false">SUMIF(Fontes!$A$2:$A$45,A29,Fontes!$J$2:$J$45)</f>
        <v>368.1</v>
      </c>
      <c r="E29" s="10" t="n">
        <v>1</v>
      </c>
      <c r="F29" s="10" t="n">
        <v>2</v>
      </c>
      <c r="G29" s="11" t="n">
        <f aca="false">D29*E29</f>
        <v>368.1</v>
      </c>
      <c r="H29" s="11" t="n">
        <f aca="false">D29*F29</f>
        <v>736.2</v>
      </c>
      <c r="I29" s="6" t="s">
        <v>113</v>
      </c>
      <c r="J29" s="12" t="s">
        <v>67</v>
      </c>
    </row>
    <row r="30" customFormat="false" ht="23.85" hidden="false" customHeight="false" outlineLevel="0" collapsed="false">
      <c r="A30" s="4" t="s">
        <v>114</v>
      </c>
      <c r="B30" s="9" t="s">
        <v>115</v>
      </c>
      <c r="C30" s="4" t="s">
        <v>86</v>
      </c>
      <c r="D30" s="5" t="n">
        <f aca="false">SUMIF(Fontes!$A$2:$A$45,A30,Fontes!$J$2:$J$45)</f>
        <v>431.08</v>
      </c>
      <c r="E30" s="10" t="n">
        <v>1</v>
      </c>
      <c r="F30" s="10" t="n">
        <v>2</v>
      </c>
      <c r="G30" s="11" t="n">
        <f aca="false">D30*E30</f>
        <v>431.08</v>
      </c>
      <c r="H30" s="11" t="n">
        <f aca="false">D30*F30</f>
        <v>862.16</v>
      </c>
      <c r="I30" s="6" t="s">
        <v>113</v>
      </c>
      <c r="J30" s="9" t="s">
        <v>83</v>
      </c>
    </row>
    <row r="31" customFormat="false" ht="15" hidden="false" customHeight="false" outlineLevel="0" collapsed="false">
      <c r="A31" s="4" t="s">
        <v>116</v>
      </c>
      <c r="B31" s="9" t="s">
        <v>117</v>
      </c>
      <c r="C31" s="4" t="s">
        <v>34</v>
      </c>
      <c r="D31" s="13" t="n">
        <f aca="false">SUMIF(Fontes!$A$2:$A$45,A31,Fontes!$J$2:$J$45)</f>
        <v>350</v>
      </c>
      <c r="E31" s="10" t="n">
        <v>1</v>
      </c>
      <c r="F31" s="10" t="n">
        <v>20</v>
      </c>
      <c r="G31" s="11" t="n">
        <f aca="false">D31*E31</f>
        <v>350</v>
      </c>
      <c r="H31" s="11" t="n">
        <f aca="false">D31*F31</f>
        <v>7000</v>
      </c>
      <c r="I31" s="6" t="s">
        <v>118</v>
      </c>
      <c r="J31" s="14" t="s">
        <v>119</v>
      </c>
    </row>
    <row r="32" customFormat="false" ht="23.85" hidden="false" customHeight="false" outlineLevel="0" collapsed="false">
      <c r="A32" s="4" t="s">
        <v>120</v>
      </c>
      <c r="B32" s="9" t="s">
        <v>121</v>
      </c>
      <c r="C32" s="4" t="s">
        <v>34</v>
      </c>
      <c r="D32" s="5" t="n">
        <f aca="false">SUMIF(Fontes!$A$2:$A$45,A32,Fontes!$J$2:$J$45)</f>
        <v>25.611</v>
      </c>
      <c r="E32" s="10" t="n">
        <v>3</v>
      </c>
      <c r="F32" s="10" t="n">
        <v>40</v>
      </c>
      <c r="G32" s="11" t="n">
        <f aca="false">D32*E32</f>
        <v>76.833</v>
      </c>
      <c r="H32" s="11" t="n">
        <f aca="false">D32*F32</f>
        <v>1024.44</v>
      </c>
      <c r="I32" s="6" t="s">
        <v>122</v>
      </c>
      <c r="J32" s="9" t="s">
        <v>83</v>
      </c>
    </row>
    <row r="33" customFormat="false" ht="15" hidden="false" customHeight="false" outlineLevel="0" collapsed="false">
      <c r="A33" s="4" t="s">
        <v>123</v>
      </c>
      <c r="B33" s="9" t="s">
        <v>124</v>
      </c>
      <c r="C33" s="4" t="s">
        <v>86</v>
      </c>
      <c r="D33" s="5" t="n">
        <f aca="false">SUMIF(Fontes!$A$2:$A$45,A33,Fontes!$J$2:$J$45)</f>
        <v>66.66</v>
      </c>
      <c r="E33" s="10" t="n">
        <v>1</v>
      </c>
      <c r="F33" s="10" t="n">
        <v>0</v>
      </c>
      <c r="G33" s="11" t="n">
        <f aca="false">D33*E33</f>
        <v>66.66</v>
      </c>
      <c r="H33" s="11" t="n">
        <f aca="false">D33*F33</f>
        <v>0</v>
      </c>
      <c r="I33" s="6" t="s">
        <v>125</v>
      </c>
      <c r="J33" s="9" t="s">
        <v>80</v>
      </c>
    </row>
    <row r="34" customFormat="false" ht="15" hidden="false" customHeight="false" outlineLevel="0" collapsed="false">
      <c r="A34" s="4" t="s">
        <v>126</v>
      </c>
      <c r="B34" s="9" t="s">
        <v>127</v>
      </c>
      <c r="C34" s="4" t="s">
        <v>34</v>
      </c>
      <c r="D34" s="5" t="n">
        <f aca="false">SUMIF(Fontes!$A$2:$A$45,A34,Fontes!$J$2:$J$45)</f>
        <v>93.63</v>
      </c>
      <c r="E34" s="10" t="n">
        <v>1</v>
      </c>
      <c r="F34" s="10" t="n">
        <v>0</v>
      </c>
      <c r="G34" s="11" t="n">
        <f aca="false">D34*E34</f>
        <v>93.63</v>
      </c>
      <c r="H34" s="11" t="n">
        <f aca="false">D34*F34</f>
        <v>0</v>
      </c>
      <c r="I34" s="6" t="s">
        <v>125</v>
      </c>
      <c r="J34" s="12" t="s">
        <v>67</v>
      </c>
    </row>
    <row r="35" customFormat="false" ht="15" hidden="false" customHeight="false" outlineLevel="0" collapsed="false">
      <c r="A35" s="4"/>
      <c r="B35" s="4" t="s">
        <v>128</v>
      </c>
      <c r="C35" s="4"/>
      <c r="D35" s="4"/>
      <c r="E35" s="4"/>
      <c r="F35" s="4"/>
      <c r="G35" s="11" t="n">
        <f aca="false">SUM(G5:G34)*Premissas!$B$6</f>
        <v>699.948498913935</v>
      </c>
      <c r="H35" s="11" t="n">
        <f aca="false">SUM(H5:H34)*Premissas!$B$6</f>
        <v>10620.4827371311</v>
      </c>
      <c r="I35" s="4"/>
      <c r="J35" s="4"/>
    </row>
    <row r="36" customFormat="false" ht="15" hidden="false" customHeight="false" outlineLevel="0" collapsed="false">
      <c r="A36" s="15" t="s">
        <v>129</v>
      </c>
      <c r="B36" s="16"/>
      <c r="C36" s="16"/>
      <c r="D36" s="16"/>
      <c r="E36" s="16"/>
      <c r="F36" s="16"/>
      <c r="G36" s="17" t="n">
        <f aca="false">SUM(G5:G35)</f>
        <v>14698.9184771926</v>
      </c>
      <c r="H36" s="17" t="n">
        <f aca="false">SUM(H5:H35)</f>
        <v>223030.137479754</v>
      </c>
      <c r="I36" s="16"/>
      <c r="J36" s="16"/>
    </row>
    <row r="38" customFormat="false" ht="39.75" hidden="false" customHeight="true" outlineLevel="0" collapsed="false">
      <c r="A38" s="2" t="s">
        <v>130</v>
      </c>
      <c r="B38" s="2"/>
      <c r="C38" s="2"/>
      <c r="D38" s="2"/>
      <c r="E38" s="2"/>
      <c r="F38" s="2"/>
      <c r="G38" s="2"/>
      <c r="H38" s="2"/>
      <c r="I38" s="2"/>
      <c r="J38" s="2"/>
    </row>
    <row r="39" customFormat="false" ht="39.75" hidden="false" customHeight="true" outlineLevel="0" collapsed="false">
      <c r="A39" s="2" t="s">
        <v>131</v>
      </c>
      <c r="B39" s="2"/>
      <c r="C39" s="2"/>
      <c r="D39" s="2"/>
      <c r="E39" s="2"/>
      <c r="F39" s="2"/>
      <c r="G39" s="2"/>
      <c r="H39" s="2"/>
      <c r="I39" s="2"/>
      <c r="J39" s="2"/>
    </row>
  </sheetData>
  <mergeCells count="3">
    <mergeCell ref="A2:J2"/>
    <mergeCell ref="A38:J38"/>
    <mergeCell ref="A39:J39"/>
  </mergeCells>
  <hyperlinks>
    <hyperlink ref="J5" r:id="rId1" display="Usinainfo"/>
    <hyperlink ref="J6" r:id="rId2" display="Usinainfo"/>
    <hyperlink ref="J7" r:id="rId3" display="MakerHero"/>
    <hyperlink ref="J8" r:id="rId4" display="Saravati"/>
    <hyperlink ref="J9" r:id="rId5" display="SparkFun (EUA)"/>
    <hyperlink ref="J10" r:id="rId6" display="MCEIG"/>
    <hyperlink ref="J11" r:id="rId7" display="Saravati"/>
    <hyperlink ref="J12" r:id="rId8" display="Usinainfo"/>
    <hyperlink ref="J13" r:id="rId9" display="Mult Comercial"/>
    <hyperlink ref="J14" r:id="rId10" display="KaBuM"/>
    <hyperlink ref="J15" r:id="rId11" display="KaBuM"/>
    <hyperlink ref="J21" r:id="rId12" display="Telhanorte"/>
    <hyperlink ref="J23" r:id="rId13" display="KaBuM"/>
    <hyperlink ref="J24" r:id="rId14" display="KaBuM"/>
    <hyperlink ref="J25" r:id="rId15" display="Leroy Merlin"/>
    <hyperlink ref="J26" r:id="rId16" display="Leroy Merlin"/>
    <hyperlink ref="J27" r:id="rId17" display="KaBuM"/>
    <hyperlink ref="J29" r:id="rId18" display="KaBuM"/>
    <hyperlink ref="J34" r:id="rId19" display="KaBu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132</v>
      </c>
    </row>
    <row r="3" customFormat="false" ht="31.5" hidden="false" customHeight="true" outlineLevel="0" collapsed="false">
      <c r="A3" s="3" t="s">
        <v>133</v>
      </c>
      <c r="B3" s="3" t="s">
        <v>134</v>
      </c>
      <c r="C3" s="3" t="s">
        <v>31</v>
      </c>
    </row>
    <row r="4" customFormat="false" ht="15" hidden="false" customHeight="false" outlineLevel="0" collapsed="false">
      <c r="A4" s="4" t="s">
        <v>135</v>
      </c>
      <c r="B4" s="18" t="n">
        <v>5.0371</v>
      </c>
      <c r="C4" s="6" t="s">
        <v>136</v>
      </c>
    </row>
    <row r="5" customFormat="false" ht="22.35" hidden="false" customHeight="false" outlineLevel="0" collapsed="false">
      <c r="A5" s="4" t="s">
        <v>137</v>
      </c>
      <c r="B5" s="19" t="n">
        <v>1.9</v>
      </c>
      <c r="C5" s="6" t="s">
        <v>138</v>
      </c>
    </row>
    <row r="6" customFormat="false" ht="15" hidden="false" customHeight="false" outlineLevel="0" collapsed="false">
      <c r="A6" s="4" t="s">
        <v>139</v>
      </c>
      <c r="B6" s="20" t="n">
        <v>0.05</v>
      </c>
      <c r="C6" s="6" t="s">
        <v>140</v>
      </c>
    </row>
    <row r="8" customFormat="false" ht="27.75" hidden="false" customHeight="true" outlineLevel="0" collapsed="false">
      <c r="A8" s="2" t="s">
        <v>141</v>
      </c>
      <c r="B8" s="2"/>
      <c r="C8" s="2"/>
    </row>
  </sheetData>
  <mergeCells count="1"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62"/>
  </cols>
  <sheetData>
    <row r="1" customFormat="false" ht="42" hidden="false" customHeight="true" outlineLevel="0" collapsed="false">
      <c r="A1" s="3" t="s">
        <v>22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5</v>
      </c>
    </row>
    <row r="2" customFormat="false" ht="15" hidden="false" customHeight="false" outlineLevel="0" collapsed="false">
      <c r="A2" s="4" t="s">
        <v>32</v>
      </c>
      <c r="B2" s="9" t="s">
        <v>152</v>
      </c>
      <c r="C2" s="4" t="s">
        <v>36</v>
      </c>
      <c r="D2" s="9" t="s">
        <v>153</v>
      </c>
      <c r="E2" s="21" t="s">
        <v>154</v>
      </c>
      <c r="F2" s="22" t="n">
        <v>10.97</v>
      </c>
      <c r="G2" s="9" t="s">
        <v>155</v>
      </c>
      <c r="H2" s="10" t="n">
        <v>1</v>
      </c>
      <c r="I2" s="10" t="n">
        <v>1</v>
      </c>
      <c r="J2" s="11" t="n">
        <f aca="false">F2/H2*I2</f>
        <v>10.97</v>
      </c>
      <c r="K2" s="4" t="s">
        <v>156</v>
      </c>
      <c r="L2" s="6" t="s">
        <v>157</v>
      </c>
    </row>
    <row r="3" customFormat="false" ht="23.85" hidden="false" customHeight="false" outlineLevel="0" collapsed="false">
      <c r="A3" s="4" t="s">
        <v>37</v>
      </c>
      <c r="B3" s="9" t="s">
        <v>158</v>
      </c>
      <c r="C3" s="4" t="s">
        <v>36</v>
      </c>
      <c r="D3" s="9" t="s">
        <v>159</v>
      </c>
      <c r="E3" s="21" t="s">
        <v>160</v>
      </c>
      <c r="F3" s="22" t="n">
        <v>20.17</v>
      </c>
      <c r="G3" s="9" t="s">
        <v>155</v>
      </c>
      <c r="H3" s="10" t="n">
        <v>1</v>
      </c>
      <c r="I3" s="10" t="n">
        <v>1</v>
      </c>
      <c r="J3" s="11" t="n">
        <f aca="false">F3/H3*I3</f>
        <v>20.17</v>
      </c>
      <c r="K3" s="4" t="s">
        <v>156</v>
      </c>
      <c r="L3" s="6" t="s">
        <v>161</v>
      </c>
    </row>
    <row r="4" customFormat="false" ht="15" hidden="false" customHeight="false" outlineLevel="0" collapsed="false">
      <c r="A4" s="4" t="s">
        <v>40</v>
      </c>
      <c r="B4" s="9" t="s">
        <v>162</v>
      </c>
      <c r="C4" s="4" t="s">
        <v>43</v>
      </c>
      <c r="D4" s="9" t="s">
        <v>163</v>
      </c>
      <c r="E4" s="21" t="s">
        <v>164</v>
      </c>
      <c r="F4" s="22" t="n">
        <v>37.9</v>
      </c>
      <c r="G4" s="9" t="s">
        <v>155</v>
      </c>
      <c r="H4" s="10" t="n">
        <v>1</v>
      </c>
      <c r="I4" s="10" t="n">
        <v>1</v>
      </c>
      <c r="J4" s="11" t="n">
        <f aca="false">F4/H4*I4</f>
        <v>37.9</v>
      </c>
      <c r="K4" s="4" t="s">
        <v>156</v>
      </c>
      <c r="L4" s="6" t="s">
        <v>165</v>
      </c>
    </row>
    <row r="5" customFormat="false" ht="15" hidden="false" customHeight="false" outlineLevel="0" collapsed="false">
      <c r="A5" s="4" t="s">
        <v>44</v>
      </c>
      <c r="B5" s="9" t="s">
        <v>166</v>
      </c>
      <c r="C5" s="4" t="s">
        <v>47</v>
      </c>
      <c r="D5" s="9" t="s">
        <v>167</v>
      </c>
      <c r="E5" s="21" t="s">
        <v>168</v>
      </c>
      <c r="F5" s="22" t="n">
        <v>8.9</v>
      </c>
      <c r="G5" s="9" t="s">
        <v>169</v>
      </c>
      <c r="H5" s="10" t="n">
        <v>1</v>
      </c>
      <c r="I5" s="10" t="n">
        <v>1</v>
      </c>
      <c r="J5" s="11" t="n">
        <f aca="false">F5/H5*I5</f>
        <v>8.9</v>
      </c>
      <c r="K5" s="4" t="s">
        <v>156</v>
      </c>
      <c r="L5" s="6" t="s">
        <v>170</v>
      </c>
    </row>
    <row r="6" customFormat="false" ht="22.35" hidden="false" customHeight="false" outlineLevel="0" collapsed="false">
      <c r="A6" s="4" t="s">
        <v>48</v>
      </c>
      <c r="B6" s="9" t="s">
        <v>171</v>
      </c>
      <c r="C6" s="4" t="s">
        <v>51</v>
      </c>
      <c r="D6" s="9" t="s">
        <v>172</v>
      </c>
      <c r="E6" s="21" t="s">
        <v>173</v>
      </c>
      <c r="F6" s="23" t="n">
        <v>12.5</v>
      </c>
      <c r="G6" s="9" t="s">
        <v>174</v>
      </c>
      <c r="H6" s="10" t="n">
        <v>1</v>
      </c>
      <c r="I6" s="10" t="n">
        <v>1</v>
      </c>
      <c r="J6" s="11" t="n">
        <f aca="false">F6/H6*I6*Premissas!$B$4*Premissas!$B$5</f>
        <v>119.631125</v>
      </c>
      <c r="K6" s="4" t="s">
        <v>156</v>
      </c>
      <c r="L6" s="6" t="s">
        <v>175</v>
      </c>
    </row>
    <row r="7" customFormat="false" ht="23.85" hidden="false" customHeight="false" outlineLevel="0" collapsed="false">
      <c r="A7" s="4" t="s">
        <v>52</v>
      </c>
      <c r="B7" s="9" t="s">
        <v>176</v>
      </c>
      <c r="C7" s="4" t="s">
        <v>54</v>
      </c>
      <c r="D7" s="9" t="s">
        <v>177</v>
      </c>
      <c r="E7" s="21" t="s">
        <v>178</v>
      </c>
      <c r="F7" s="22" t="n">
        <v>189.98</v>
      </c>
      <c r="G7" s="9" t="s">
        <v>179</v>
      </c>
      <c r="H7" s="10" t="n">
        <v>1</v>
      </c>
      <c r="I7" s="10" t="n">
        <v>1</v>
      </c>
      <c r="J7" s="11" t="n">
        <f aca="false">F7/H7*I7</f>
        <v>189.98</v>
      </c>
      <c r="K7" s="4" t="s">
        <v>156</v>
      </c>
      <c r="L7" s="6" t="s">
        <v>180</v>
      </c>
    </row>
    <row r="8" customFormat="false" ht="23.85" hidden="false" customHeight="false" outlineLevel="0" collapsed="false">
      <c r="A8" s="4" t="s">
        <v>181</v>
      </c>
      <c r="B8" s="9" t="s">
        <v>182</v>
      </c>
      <c r="C8" s="4" t="s">
        <v>54</v>
      </c>
      <c r="D8" s="9" t="s">
        <v>183</v>
      </c>
      <c r="E8" s="21" t="s">
        <v>184</v>
      </c>
      <c r="F8" s="22" t="n">
        <v>591.68</v>
      </c>
      <c r="G8" s="9" t="s">
        <v>179</v>
      </c>
      <c r="H8" s="10" t="n">
        <v>1</v>
      </c>
      <c r="I8" s="10" t="n">
        <v>1</v>
      </c>
      <c r="J8" s="11" t="n">
        <f aca="false">F8/H8*I8</f>
        <v>591.68</v>
      </c>
      <c r="K8" s="4" t="s">
        <v>156</v>
      </c>
      <c r="L8" s="6" t="s">
        <v>185</v>
      </c>
    </row>
    <row r="9" customFormat="false" ht="23.85" hidden="false" customHeight="false" outlineLevel="0" collapsed="false">
      <c r="A9" s="4" t="s">
        <v>55</v>
      </c>
      <c r="B9" s="9" t="s">
        <v>186</v>
      </c>
      <c r="C9" s="4" t="s">
        <v>47</v>
      </c>
      <c r="D9" s="9" t="s">
        <v>187</v>
      </c>
      <c r="E9" s="21" t="s">
        <v>188</v>
      </c>
      <c r="F9" s="22" t="n">
        <v>10.9</v>
      </c>
      <c r="G9" s="9" t="s">
        <v>169</v>
      </c>
      <c r="H9" s="10" t="n">
        <v>1</v>
      </c>
      <c r="I9" s="10" t="n">
        <v>1</v>
      </c>
      <c r="J9" s="11" t="n">
        <f aca="false">F9/H9*I9</f>
        <v>10.9</v>
      </c>
      <c r="K9" s="4" t="s">
        <v>156</v>
      </c>
      <c r="L9" s="6" t="s">
        <v>189</v>
      </c>
    </row>
    <row r="10" customFormat="false" ht="23.85" hidden="false" customHeight="false" outlineLevel="0" collapsed="false">
      <c r="A10" s="4" t="s">
        <v>58</v>
      </c>
      <c r="B10" s="9" t="s">
        <v>190</v>
      </c>
      <c r="C10" s="4" t="s">
        <v>36</v>
      </c>
      <c r="D10" s="9" t="s">
        <v>191</v>
      </c>
      <c r="E10" s="21" t="s">
        <v>192</v>
      </c>
      <c r="F10" s="22" t="n">
        <v>20.75</v>
      </c>
      <c r="G10" s="9" t="s">
        <v>155</v>
      </c>
      <c r="H10" s="10" t="n">
        <v>1</v>
      </c>
      <c r="I10" s="10" t="n">
        <v>1</v>
      </c>
      <c r="J10" s="11" t="n">
        <f aca="false">F10/H10*I10</f>
        <v>20.75</v>
      </c>
      <c r="K10" s="4" t="s">
        <v>156</v>
      </c>
      <c r="L10" s="6" t="s">
        <v>193</v>
      </c>
    </row>
    <row r="11" customFormat="false" ht="43.25" hidden="false" customHeight="false" outlineLevel="0" collapsed="false">
      <c r="A11" s="4" t="s">
        <v>60</v>
      </c>
      <c r="B11" s="9" t="s">
        <v>194</v>
      </c>
      <c r="C11" s="4" t="s">
        <v>63</v>
      </c>
      <c r="D11" s="9" t="s">
        <v>195</v>
      </c>
      <c r="E11" s="21" t="s">
        <v>196</v>
      </c>
      <c r="F11" s="22" t="n">
        <v>4.5</v>
      </c>
      <c r="G11" s="9" t="s">
        <v>155</v>
      </c>
      <c r="H11" s="10" t="n">
        <v>1</v>
      </c>
      <c r="I11" s="10" t="n">
        <v>1</v>
      </c>
      <c r="J11" s="11" t="n">
        <f aca="false">F11/H11*I11</f>
        <v>4.5</v>
      </c>
      <c r="K11" s="4" t="s">
        <v>156</v>
      </c>
      <c r="L11" s="6" t="s">
        <v>197</v>
      </c>
    </row>
    <row r="12" customFormat="false" ht="23.85" hidden="false" customHeight="false" outlineLevel="0" collapsed="false">
      <c r="A12" s="4" t="s">
        <v>64</v>
      </c>
      <c r="B12" s="9" t="s">
        <v>198</v>
      </c>
      <c r="C12" s="4" t="s">
        <v>67</v>
      </c>
      <c r="D12" s="9" t="s">
        <v>199</v>
      </c>
      <c r="E12" s="21" t="s">
        <v>200</v>
      </c>
      <c r="F12" s="22" t="n">
        <v>70.99</v>
      </c>
      <c r="G12" s="9" t="s">
        <v>155</v>
      </c>
      <c r="H12" s="10" t="n">
        <v>100</v>
      </c>
      <c r="I12" s="10" t="n">
        <v>1</v>
      </c>
      <c r="J12" s="11" t="n">
        <f aca="false">F12/H12*I12</f>
        <v>0.7099</v>
      </c>
      <c r="K12" s="4" t="s">
        <v>156</v>
      </c>
      <c r="L12" s="6" t="s">
        <v>201</v>
      </c>
    </row>
    <row r="13" customFormat="false" ht="23.85" hidden="false" customHeight="false" outlineLevel="0" collapsed="false">
      <c r="A13" s="4" t="s">
        <v>68</v>
      </c>
      <c r="B13" s="9" t="s">
        <v>202</v>
      </c>
      <c r="C13" s="4" t="s">
        <v>67</v>
      </c>
      <c r="D13" s="9" t="s">
        <v>203</v>
      </c>
      <c r="E13" s="21" t="s">
        <v>204</v>
      </c>
      <c r="F13" s="22" t="n">
        <v>799.9</v>
      </c>
      <c r="G13" s="9" t="s">
        <v>155</v>
      </c>
      <c r="H13" s="10" t="n">
        <v>305</v>
      </c>
      <c r="I13" s="10" t="n">
        <v>1</v>
      </c>
      <c r="J13" s="11" t="n">
        <f aca="false">F13/H13*I13</f>
        <v>2.62262295081967</v>
      </c>
      <c r="K13" s="4" t="s">
        <v>156</v>
      </c>
      <c r="L13" s="6" t="s">
        <v>205</v>
      </c>
    </row>
    <row r="14" customFormat="false" ht="53.7" hidden="false" customHeight="false" outlineLevel="0" collapsed="false">
      <c r="A14" s="4" t="s">
        <v>72</v>
      </c>
      <c r="B14" s="9" t="s">
        <v>206</v>
      </c>
      <c r="C14" s="4" t="s">
        <v>207</v>
      </c>
      <c r="D14" s="9" t="s">
        <v>208</v>
      </c>
      <c r="E14" s="14" t="s">
        <v>209</v>
      </c>
      <c r="F14" s="24" t="n">
        <v>5</v>
      </c>
      <c r="G14" s="14" t="s">
        <v>210</v>
      </c>
      <c r="H14" s="10" t="n">
        <v>1</v>
      </c>
      <c r="I14" s="10" t="n">
        <v>1</v>
      </c>
      <c r="J14" s="11" t="n">
        <f aca="false">F14/H14*I14</f>
        <v>5</v>
      </c>
      <c r="K14" s="4" t="s">
        <v>156</v>
      </c>
      <c r="L14" s="6" t="s">
        <v>211</v>
      </c>
    </row>
    <row r="15" customFormat="false" ht="23.85" hidden="false" customHeight="false" outlineLevel="0" collapsed="false">
      <c r="A15" s="4" t="s">
        <v>76</v>
      </c>
      <c r="B15" s="9" t="s">
        <v>212</v>
      </c>
      <c r="C15" s="4" t="s">
        <v>207</v>
      </c>
      <c r="D15" s="9" t="s">
        <v>208</v>
      </c>
      <c r="E15" s="14" t="s">
        <v>209</v>
      </c>
      <c r="F15" s="24" t="n">
        <v>15</v>
      </c>
      <c r="G15" s="14" t="s">
        <v>210</v>
      </c>
      <c r="H15" s="10" t="n">
        <v>1</v>
      </c>
      <c r="I15" s="10" t="n">
        <v>1</v>
      </c>
      <c r="J15" s="11" t="n">
        <f aca="false">F15/H15*I15</f>
        <v>15</v>
      </c>
      <c r="K15" s="4" t="s">
        <v>156</v>
      </c>
      <c r="L15" s="6" t="s">
        <v>213</v>
      </c>
    </row>
    <row r="16" customFormat="false" ht="15" hidden="false" customHeight="false" outlineLevel="0" collapsed="false">
      <c r="A16" s="4" t="s">
        <v>78</v>
      </c>
      <c r="B16" s="9" t="s">
        <v>214</v>
      </c>
      <c r="C16" s="4" t="s">
        <v>215</v>
      </c>
      <c r="D16" s="9" t="s">
        <v>216</v>
      </c>
      <c r="E16" s="21" t="s">
        <v>217</v>
      </c>
      <c r="F16" s="22" t="n">
        <v>2.38</v>
      </c>
      <c r="G16" s="9" t="s">
        <v>155</v>
      </c>
      <c r="H16" s="10" t="n">
        <v>1</v>
      </c>
      <c r="I16" s="10" t="n">
        <v>1</v>
      </c>
      <c r="J16" s="11" t="n">
        <f aca="false">F16/H16*I16</f>
        <v>2.38</v>
      </c>
      <c r="K16" s="4" t="s">
        <v>156</v>
      </c>
      <c r="L16" s="6" t="s">
        <v>218</v>
      </c>
    </row>
    <row r="17" customFormat="false" ht="15" hidden="false" customHeight="false" outlineLevel="0" collapsed="false">
      <c r="A17" s="4" t="s">
        <v>78</v>
      </c>
      <c r="B17" s="9" t="s">
        <v>219</v>
      </c>
      <c r="C17" s="4" t="s">
        <v>220</v>
      </c>
      <c r="D17" s="9" t="s">
        <v>221</v>
      </c>
      <c r="E17" s="21" t="s">
        <v>222</v>
      </c>
      <c r="F17" s="22" t="n">
        <v>1.17</v>
      </c>
      <c r="G17" s="9" t="s">
        <v>155</v>
      </c>
      <c r="H17" s="10" t="n">
        <v>1</v>
      </c>
      <c r="I17" s="10" t="n">
        <v>2</v>
      </c>
      <c r="J17" s="11" t="n">
        <f aca="false">F17/H17*I17</f>
        <v>2.34</v>
      </c>
      <c r="K17" s="4" t="s">
        <v>156</v>
      </c>
      <c r="L17" s="6" t="s">
        <v>223</v>
      </c>
    </row>
    <row r="18" customFormat="false" ht="22.35" hidden="false" customHeight="false" outlineLevel="0" collapsed="false">
      <c r="A18" s="4" t="s">
        <v>81</v>
      </c>
      <c r="B18" s="9" t="s">
        <v>224</v>
      </c>
      <c r="C18" s="4" t="s">
        <v>36</v>
      </c>
      <c r="D18" s="9" t="s">
        <v>225</v>
      </c>
      <c r="E18" s="21" t="s">
        <v>226</v>
      </c>
      <c r="F18" s="22" t="n">
        <v>166.12</v>
      </c>
      <c r="G18" s="9" t="s">
        <v>155</v>
      </c>
      <c r="H18" s="10" t="n">
        <v>1</v>
      </c>
      <c r="I18" s="10" t="n">
        <v>1</v>
      </c>
      <c r="J18" s="11" t="n">
        <f aca="false">F18/H18*I18</f>
        <v>166.12</v>
      </c>
      <c r="K18" s="4" t="s">
        <v>156</v>
      </c>
      <c r="L18" s="6" t="s">
        <v>227</v>
      </c>
    </row>
    <row r="19" customFormat="false" ht="15" hidden="false" customHeight="false" outlineLevel="0" collapsed="false">
      <c r="A19" s="4" t="s">
        <v>81</v>
      </c>
      <c r="B19" s="9" t="s">
        <v>228</v>
      </c>
      <c r="C19" s="4" t="s">
        <v>36</v>
      </c>
      <c r="D19" s="9" t="s">
        <v>229</v>
      </c>
      <c r="E19" s="21" t="s">
        <v>230</v>
      </c>
      <c r="F19" s="22" t="n">
        <v>15.57</v>
      </c>
      <c r="G19" s="9" t="s">
        <v>155</v>
      </c>
      <c r="H19" s="10" t="n">
        <v>1</v>
      </c>
      <c r="I19" s="10" t="n">
        <v>1</v>
      </c>
      <c r="J19" s="11" t="n">
        <f aca="false">F19/H19*I19</f>
        <v>15.57</v>
      </c>
      <c r="K19" s="4" t="s">
        <v>156</v>
      </c>
      <c r="L19" s="6" t="s">
        <v>231</v>
      </c>
    </row>
    <row r="20" customFormat="false" ht="15" hidden="false" customHeight="false" outlineLevel="0" collapsed="false">
      <c r="A20" s="4" t="s">
        <v>81</v>
      </c>
      <c r="B20" s="9" t="s">
        <v>232</v>
      </c>
      <c r="C20" s="4" t="s">
        <v>36</v>
      </c>
      <c r="D20" s="9" t="s">
        <v>233</v>
      </c>
      <c r="E20" s="21" t="s">
        <v>234</v>
      </c>
      <c r="F20" s="22" t="n">
        <v>5.83</v>
      </c>
      <c r="G20" s="9" t="s">
        <v>179</v>
      </c>
      <c r="H20" s="10" t="n">
        <v>1</v>
      </c>
      <c r="I20" s="10" t="n">
        <v>1</v>
      </c>
      <c r="J20" s="11" t="n">
        <f aca="false">F20/H20*I20</f>
        <v>5.83</v>
      </c>
      <c r="K20" s="4" t="s">
        <v>156</v>
      </c>
      <c r="L20" s="6" t="s">
        <v>235</v>
      </c>
    </row>
    <row r="21" customFormat="false" ht="15" hidden="false" customHeight="false" outlineLevel="0" collapsed="false">
      <c r="A21" s="4" t="s">
        <v>84</v>
      </c>
      <c r="B21" s="9" t="s">
        <v>236</v>
      </c>
      <c r="C21" s="4" t="s">
        <v>36</v>
      </c>
      <c r="D21" s="9" t="s">
        <v>237</v>
      </c>
      <c r="E21" s="21" t="s">
        <v>238</v>
      </c>
      <c r="F21" s="22" t="n">
        <v>3.96</v>
      </c>
      <c r="G21" s="9" t="s">
        <v>155</v>
      </c>
      <c r="H21" s="10" t="n">
        <v>1</v>
      </c>
      <c r="I21" s="10" t="n">
        <v>2</v>
      </c>
      <c r="J21" s="11" t="n">
        <f aca="false">F21/H21*I21</f>
        <v>7.92</v>
      </c>
      <c r="K21" s="4" t="s">
        <v>156</v>
      </c>
      <c r="L21" s="6" t="s">
        <v>239</v>
      </c>
    </row>
    <row r="22" customFormat="false" ht="15" hidden="false" customHeight="false" outlineLevel="0" collapsed="false">
      <c r="A22" s="4" t="s">
        <v>84</v>
      </c>
      <c r="B22" s="9" t="s">
        <v>240</v>
      </c>
      <c r="C22" s="4" t="s">
        <v>103</v>
      </c>
      <c r="D22" s="9" t="s">
        <v>241</v>
      </c>
      <c r="E22" s="21" t="s">
        <v>242</v>
      </c>
      <c r="F22" s="22" t="n">
        <v>28.1</v>
      </c>
      <c r="G22" s="9" t="s">
        <v>243</v>
      </c>
      <c r="H22" s="10" t="n">
        <v>1</v>
      </c>
      <c r="I22" s="10" t="n">
        <v>1</v>
      </c>
      <c r="J22" s="11" t="n">
        <f aca="false">F22/H22*I22</f>
        <v>28.1</v>
      </c>
      <c r="K22" s="4" t="s">
        <v>156</v>
      </c>
      <c r="L22" s="6" t="s">
        <v>244</v>
      </c>
    </row>
    <row r="23" customFormat="false" ht="15" hidden="false" customHeight="false" outlineLevel="0" collapsed="false">
      <c r="A23" s="4" t="s">
        <v>84</v>
      </c>
      <c r="B23" s="9" t="s">
        <v>219</v>
      </c>
      <c r="C23" s="4" t="s">
        <v>220</v>
      </c>
      <c r="D23" s="9" t="s">
        <v>221</v>
      </c>
      <c r="E23" s="21" t="s">
        <v>222</v>
      </c>
      <c r="F23" s="22" t="n">
        <v>1.17</v>
      </c>
      <c r="G23" s="9" t="s">
        <v>155</v>
      </c>
      <c r="H23" s="10" t="n">
        <v>1</v>
      </c>
      <c r="I23" s="10" t="n">
        <v>4</v>
      </c>
      <c r="J23" s="11" t="n">
        <f aca="false">F23/H23*I23</f>
        <v>4.68</v>
      </c>
      <c r="K23" s="4" t="s">
        <v>156</v>
      </c>
      <c r="L23" s="6" t="s">
        <v>245</v>
      </c>
    </row>
    <row r="24" customFormat="false" ht="15" hidden="false" customHeight="false" outlineLevel="0" collapsed="false">
      <c r="A24" s="4" t="s">
        <v>87</v>
      </c>
      <c r="B24" s="9" t="s">
        <v>246</v>
      </c>
      <c r="C24" s="4" t="s">
        <v>90</v>
      </c>
      <c r="D24" s="9" t="s">
        <v>247</v>
      </c>
      <c r="E24" s="21" t="s">
        <v>248</v>
      </c>
      <c r="F24" s="22" t="n">
        <v>8.72</v>
      </c>
      <c r="G24" s="9" t="s">
        <v>155</v>
      </c>
      <c r="H24" s="10" t="n">
        <v>2</v>
      </c>
      <c r="I24" s="10" t="n">
        <v>1</v>
      </c>
      <c r="J24" s="11" t="n">
        <f aca="false">F24/H24*I24</f>
        <v>4.36</v>
      </c>
      <c r="K24" s="4" t="s">
        <v>156</v>
      </c>
      <c r="L24" s="6" t="s">
        <v>249</v>
      </c>
    </row>
    <row r="25" customFormat="false" ht="23.85" hidden="false" customHeight="false" outlineLevel="0" collapsed="false">
      <c r="A25" s="4" t="s">
        <v>91</v>
      </c>
      <c r="B25" s="9" t="s">
        <v>250</v>
      </c>
      <c r="C25" s="4" t="s">
        <v>103</v>
      </c>
      <c r="D25" s="9" t="s">
        <v>251</v>
      </c>
      <c r="E25" s="21" t="s">
        <v>252</v>
      </c>
      <c r="F25" s="22" t="n">
        <v>15.52</v>
      </c>
      <c r="G25" s="9" t="s">
        <v>243</v>
      </c>
      <c r="H25" s="10" t="n">
        <v>1</v>
      </c>
      <c r="I25" s="10" t="n">
        <v>1</v>
      </c>
      <c r="J25" s="11" t="n">
        <f aca="false">F25/H25*I25</f>
        <v>15.52</v>
      </c>
      <c r="K25" s="4" t="s">
        <v>156</v>
      </c>
      <c r="L25" s="6" t="s">
        <v>253</v>
      </c>
    </row>
    <row r="26" customFormat="false" ht="23.85" hidden="false" customHeight="false" outlineLevel="0" collapsed="false">
      <c r="A26" s="4" t="s">
        <v>91</v>
      </c>
      <c r="B26" s="9" t="s">
        <v>254</v>
      </c>
      <c r="C26" s="4" t="s">
        <v>255</v>
      </c>
      <c r="D26" s="9" t="s">
        <v>256</v>
      </c>
      <c r="E26" s="21" t="s">
        <v>257</v>
      </c>
      <c r="F26" s="22" t="n">
        <v>91</v>
      </c>
      <c r="G26" s="9" t="s">
        <v>243</v>
      </c>
      <c r="H26" s="10" t="n">
        <v>1400</v>
      </c>
      <c r="I26" s="10" t="n">
        <v>200</v>
      </c>
      <c r="J26" s="11" t="n">
        <f aca="false">F26/H26*I26</f>
        <v>13</v>
      </c>
      <c r="K26" s="4" t="s">
        <v>156</v>
      </c>
      <c r="L26" s="6" t="s">
        <v>258</v>
      </c>
    </row>
    <row r="27" customFormat="false" ht="23.85" hidden="false" customHeight="false" outlineLevel="0" collapsed="false">
      <c r="A27" s="4" t="s">
        <v>94</v>
      </c>
      <c r="B27" s="9" t="s">
        <v>259</v>
      </c>
      <c r="C27" s="4" t="s">
        <v>67</v>
      </c>
      <c r="D27" s="9" t="s">
        <v>260</v>
      </c>
      <c r="E27" s="21" t="s">
        <v>261</v>
      </c>
      <c r="F27" s="22" t="n">
        <v>769.32</v>
      </c>
      <c r="G27" s="9" t="s">
        <v>155</v>
      </c>
      <c r="H27" s="10" t="n">
        <v>1</v>
      </c>
      <c r="I27" s="10" t="n">
        <v>1</v>
      </c>
      <c r="J27" s="11" t="n">
        <f aca="false">F27/H27*I27</f>
        <v>769.32</v>
      </c>
      <c r="K27" s="4" t="s">
        <v>156</v>
      </c>
      <c r="L27" s="6" t="s">
        <v>262</v>
      </c>
    </row>
    <row r="28" customFormat="false" ht="15" hidden="false" customHeight="false" outlineLevel="0" collapsed="false">
      <c r="A28" s="4" t="s">
        <v>97</v>
      </c>
      <c r="B28" s="9" t="s">
        <v>263</v>
      </c>
      <c r="C28" s="4" t="s">
        <v>67</v>
      </c>
      <c r="D28" s="9" t="s">
        <v>264</v>
      </c>
      <c r="E28" s="21" t="s">
        <v>265</v>
      </c>
      <c r="F28" s="22" t="n">
        <v>461.89</v>
      </c>
      <c r="G28" s="9" t="s">
        <v>155</v>
      </c>
      <c r="H28" s="10" t="n">
        <v>50</v>
      </c>
      <c r="I28" s="10" t="n">
        <v>1</v>
      </c>
      <c r="J28" s="11" t="n">
        <f aca="false">F28/H28*I28</f>
        <v>9.2378</v>
      </c>
      <c r="K28" s="4" t="s">
        <v>156</v>
      </c>
      <c r="L28" s="6" t="s">
        <v>266</v>
      </c>
    </row>
    <row r="29" customFormat="false" ht="23.85" hidden="false" customHeight="false" outlineLevel="0" collapsed="false">
      <c r="A29" s="4" t="s">
        <v>100</v>
      </c>
      <c r="B29" s="9" t="s">
        <v>267</v>
      </c>
      <c r="C29" s="4" t="s">
        <v>103</v>
      </c>
      <c r="D29" s="9" t="s">
        <v>268</v>
      </c>
      <c r="E29" s="21" t="s">
        <v>269</v>
      </c>
      <c r="F29" s="22" t="n">
        <v>64.95</v>
      </c>
      <c r="G29" s="9" t="s">
        <v>243</v>
      </c>
      <c r="H29" s="10" t="n">
        <v>10</v>
      </c>
      <c r="I29" s="10" t="n">
        <v>1</v>
      </c>
      <c r="J29" s="11" t="n">
        <f aca="false">F29/H29*I29</f>
        <v>6.495</v>
      </c>
      <c r="K29" s="4" t="s">
        <v>156</v>
      </c>
      <c r="L29" s="6" t="s">
        <v>270</v>
      </c>
    </row>
    <row r="30" customFormat="false" ht="23.85" hidden="false" customHeight="false" outlineLevel="0" collapsed="false">
      <c r="A30" s="4" t="s">
        <v>104</v>
      </c>
      <c r="B30" s="9" t="s">
        <v>271</v>
      </c>
      <c r="C30" s="4" t="s">
        <v>103</v>
      </c>
      <c r="D30" s="9" t="s">
        <v>272</v>
      </c>
      <c r="E30" s="21" t="s">
        <v>273</v>
      </c>
      <c r="F30" s="22" t="n">
        <v>64</v>
      </c>
      <c r="G30" s="9" t="s">
        <v>243</v>
      </c>
      <c r="H30" s="10" t="n">
        <v>1</v>
      </c>
      <c r="I30" s="10" t="n">
        <v>1</v>
      </c>
      <c r="J30" s="11" t="n">
        <f aca="false">F30/H30*I30</f>
        <v>64</v>
      </c>
      <c r="K30" s="4" t="s">
        <v>156</v>
      </c>
      <c r="L30" s="6" t="s">
        <v>274</v>
      </c>
    </row>
    <row r="31" customFormat="false" ht="23.85" hidden="false" customHeight="false" outlineLevel="0" collapsed="false">
      <c r="A31" s="4" t="s">
        <v>106</v>
      </c>
      <c r="B31" s="9" t="s">
        <v>275</v>
      </c>
      <c r="C31" s="4" t="s">
        <v>67</v>
      </c>
      <c r="D31" s="9" t="s">
        <v>276</v>
      </c>
      <c r="E31" s="21" t="s">
        <v>277</v>
      </c>
      <c r="F31" s="22" t="n">
        <v>285.99</v>
      </c>
      <c r="G31" s="9" t="s">
        <v>155</v>
      </c>
      <c r="H31" s="10" t="n">
        <v>1</v>
      </c>
      <c r="I31" s="10" t="n">
        <v>1</v>
      </c>
      <c r="J31" s="11" t="n">
        <f aca="false">F31/H31*I31</f>
        <v>285.99</v>
      </c>
      <c r="K31" s="4" t="s">
        <v>156</v>
      </c>
      <c r="L31" s="6" t="s">
        <v>278</v>
      </c>
    </row>
    <row r="32" customFormat="false" ht="15" hidden="false" customHeight="false" outlineLevel="0" collapsed="false">
      <c r="A32" s="4" t="s">
        <v>109</v>
      </c>
      <c r="B32" s="9" t="s">
        <v>279</v>
      </c>
      <c r="C32" s="4" t="s">
        <v>103</v>
      </c>
      <c r="D32" s="9" t="s">
        <v>280</v>
      </c>
      <c r="E32" s="21" t="s">
        <v>281</v>
      </c>
      <c r="F32" s="22" t="n">
        <v>487.9</v>
      </c>
      <c r="G32" s="9" t="s">
        <v>243</v>
      </c>
      <c r="H32" s="10" t="n">
        <v>1</v>
      </c>
      <c r="I32" s="10" t="n">
        <v>1</v>
      </c>
      <c r="J32" s="11" t="n">
        <f aca="false">F32/H32*I32</f>
        <v>487.9</v>
      </c>
      <c r="K32" s="4" t="s">
        <v>156</v>
      </c>
      <c r="L32" s="6" t="s">
        <v>282</v>
      </c>
    </row>
    <row r="33" customFormat="false" ht="15" hidden="false" customHeight="false" outlineLevel="0" collapsed="false">
      <c r="A33" s="4" t="s">
        <v>109</v>
      </c>
      <c r="B33" s="9" t="s">
        <v>283</v>
      </c>
      <c r="C33" s="4" t="s">
        <v>36</v>
      </c>
      <c r="D33" s="9" t="s">
        <v>284</v>
      </c>
      <c r="E33" s="21" t="s">
        <v>285</v>
      </c>
      <c r="F33" s="22" t="n">
        <v>57.79</v>
      </c>
      <c r="G33" s="9" t="s">
        <v>155</v>
      </c>
      <c r="H33" s="10" t="n">
        <v>1</v>
      </c>
      <c r="I33" s="10" t="n">
        <v>1</v>
      </c>
      <c r="J33" s="11" t="n">
        <f aca="false">F33/H33*I33</f>
        <v>57.79</v>
      </c>
      <c r="K33" s="4" t="s">
        <v>156</v>
      </c>
      <c r="L33" s="6" t="s">
        <v>286</v>
      </c>
    </row>
    <row r="34" customFormat="false" ht="15" hidden="false" customHeight="false" outlineLevel="0" collapsed="false">
      <c r="A34" s="4" t="s">
        <v>109</v>
      </c>
      <c r="B34" s="9" t="s">
        <v>287</v>
      </c>
      <c r="C34" s="4" t="s">
        <v>103</v>
      </c>
      <c r="D34" s="9" t="s">
        <v>288</v>
      </c>
      <c r="E34" s="21" t="s">
        <v>289</v>
      </c>
      <c r="F34" s="22" t="n">
        <v>160</v>
      </c>
      <c r="G34" s="9" t="s">
        <v>243</v>
      </c>
      <c r="H34" s="10" t="n">
        <v>1</v>
      </c>
      <c r="I34" s="10" t="n">
        <v>1</v>
      </c>
      <c r="J34" s="11" t="n">
        <f aca="false">F34/H34*I34</f>
        <v>160</v>
      </c>
      <c r="K34" s="4" t="s">
        <v>156</v>
      </c>
      <c r="L34" s="6" t="s">
        <v>290</v>
      </c>
    </row>
    <row r="35" customFormat="false" ht="15" hidden="false" customHeight="false" outlineLevel="0" collapsed="false">
      <c r="A35" s="4" t="s">
        <v>111</v>
      </c>
      <c r="B35" s="9" t="s">
        <v>291</v>
      </c>
      <c r="C35" s="4" t="s">
        <v>67</v>
      </c>
      <c r="D35" s="9" t="s">
        <v>292</v>
      </c>
      <c r="E35" s="21" t="s">
        <v>293</v>
      </c>
      <c r="F35" s="22" t="n">
        <v>368.1</v>
      </c>
      <c r="G35" s="9" t="s">
        <v>155</v>
      </c>
      <c r="H35" s="10" t="n">
        <v>1</v>
      </c>
      <c r="I35" s="10" t="n">
        <v>1</v>
      </c>
      <c r="J35" s="11" t="n">
        <f aca="false">F35/H35*I35</f>
        <v>368.1</v>
      </c>
      <c r="K35" s="4" t="s">
        <v>156</v>
      </c>
      <c r="L35" s="6" t="s">
        <v>294</v>
      </c>
    </row>
    <row r="36" customFormat="false" ht="23.85" hidden="false" customHeight="false" outlineLevel="0" collapsed="false">
      <c r="A36" s="4" t="s">
        <v>114</v>
      </c>
      <c r="B36" s="9" t="s">
        <v>295</v>
      </c>
      <c r="C36" s="4" t="s">
        <v>67</v>
      </c>
      <c r="D36" s="9" t="s">
        <v>296</v>
      </c>
      <c r="E36" s="21" t="s">
        <v>297</v>
      </c>
      <c r="F36" s="22" t="n">
        <v>342.95</v>
      </c>
      <c r="G36" s="9" t="s">
        <v>155</v>
      </c>
      <c r="H36" s="10" t="n">
        <v>1</v>
      </c>
      <c r="I36" s="10" t="n">
        <v>1</v>
      </c>
      <c r="J36" s="11" t="n">
        <f aca="false">F36/H36*I36</f>
        <v>342.95</v>
      </c>
      <c r="K36" s="4" t="s">
        <v>156</v>
      </c>
      <c r="L36" s="6" t="s">
        <v>298</v>
      </c>
    </row>
    <row r="37" customFormat="false" ht="23.85" hidden="false" customHeight="false" outlineLevel="0" collapsed="false">
      <c r="A37" s="4" t="s">
        <v>114</v>
      </c>
      <c r="B37" s="9" t="s">
        <v>299</v>
      </c>
      <c r="C37" s="4" t="s">
        <v>67</v>
      </c>
      <c r="D37" s="9" t="s">
        <v>300</v>
      </c>
      <c r="E37" s="21" t="s">
        <v>301</v>
      </c>
      <c r="F37" s="22" t="n">
        <v>72.99</v>
      </c>
      <c r="G37" s="9" t="s">
        <v>155</v>
      </c>
      <c r="H37" s="10" t="n">
        <v>1</v>
      </c>
      <c r="I37" s="10" t="n">
        <v>1</v>
      </c>
      <c r="J37" s="11" t="n">
        <f aca="false">F37/H37*I37</f>
        <v>72.99</v>
      </c>
      <c r="K37" s="4" t="s">
        <v>156</v>
      </c>
      <c r="L37" s="6" t="s">
        <v>302</v>
      </c>
    </row>
    <row r="38" customFormat="false" ht="15" hidden="false" customHeight="false" outlineLevel="0" collapsed="false">
      <c r="A38" s="4" t="s">
        <v>114</v>
      </c>
      <c r="B38" s="9" t="s">
        <v>303</v>
      </c>
      <c r="C38" s="4" t="s">
        <v>67</v>
      </c>
      <c r="D38" s="9" t="s">
        <v>304</v>
      </c>
      <c r="E38" s="21" t="s">
        <v>305</v>
      </c>
      <c r="F38" s="22" t="n">
        <v>7.57</v>
      </c>
      <c r="G38" s="9" t="s">
        <v>155</v>
      </c>
      <c r="H38" s="10" t="n">
        <v>1</v>
      </c>
      <c r="I38" s="10" t="n">
        <v>2</v>
      </c>
      <c r="J38" s="11" t="n">
        <f aca="false">F38/H38*I38</f>
        <v>15.14</v>
      </c>
      <c r="K38" s="4" t="s">
        <v>156</v>
      </c>
      <c r="L38" s="6" t="s">
        <v>306</v>
      </c>
    </row>
    <row r="39" customFormat="false" ht="15" hidden="false" customHeight="false" outlineLevel="0" collapsed="false">
      <c r="A39" s="4" t="s">
        <v>116</v>
      </c>
      <c r="B39" s="9" t="s">
        <v>307</v>
      </c>
      <c r="C39" s="4" t="s">
        <v>308</v>
      </c>
      <c r="D39" s="9" t="s">
        <v>309</v>
      </c>
      <c r="E39" s="14" t="s">
        <v>310</v>
      </c>
      <c r="F39" s="24" t="n">
        <v>350</v>
      </c>
      <c r="G39" s="14" t="s">
        <v>311</v>
      </c>
      <c r="H39" s="10" t="n">
        <v>1</v>
      </c>
      <c r="I39" s="10" t="n">
        <v>1</v>
      </c>
      <c r="J39" s="11" t="n">
        <f aca="false">F39/H39*I39</f>
        <v>350</v>
      </c>
      <c r="K39" s="4" t="s">
        <v>156</v>
      </c>
      <c r="L39" s="6" t="s">
        <v>312</v>
      </c>
    </row>
    <row r="40" customFormat="false" ht="23.85" hidden="false" customHeight="false" outlineLevel="0" collapsed="false">
      <c r="A40" s="4" t="s">
        <v>120</v>
      </c>
      <c r="B40" s="9" t="s">
        <v>313</v>
      </c>
      <c r="C40" s="4" t="s">
        <v>314</v>
      </c>
      <c r="D40" s="9" t="s">
        <v>315</v>
      </c>
      <c r="E40" s="21" t="s">
        <v>316</v>
      </c>
      <c r="F40" s="22" t="n">
        <v>9.5</v>
      </c>
      <c r="G40" s="9" t="s">
        <v>155</v>
      </c>
      <c r="H40" s="10" t="n">
        <v>1</v>
      </c>
      <c r="I40" s="10" t="n">
        <v>1</v>
      </c>
      <c r="J40" s="11" t="n">
        <f aca="false">F40/H40*I40</f>
        <v>9.5</v>
      </c>
      <c r="K40" s="4" t="s">
        <v>156</v>
      </c>
      <c r="L40" s="6" t="s">
        <v>317</v>
      </c>
    </row>
    <row r="41" customFormat="false" ht="23.85" hidden="false" customHeight="false" outlineLevel="0" collapsed="false">
      <c r="A41" s="4" t="s">
        <v>120</v>
      </c>
      <c r="B41" s="9" t="s">
        <v>318</v>
      </c>
      <c r="C41" s="4" t="s">
        <v>103</v>
      </c>
      <c r="D41" s="9" t="s">
        <v>319</v>
      </c>
      <c r="E41" s="21" t="s">
        <v>320</v>
      </c>
      <c r="F41" s="22" t="n">
        <v>30.91</v>
      </c>
      <c r="G41" s="9" t="s">
        <v>155</v>
      </c>
      <c r="H41" s="10" t="n">
        <v>1</v>
      </c>
      <c r="I41" s="10" t="n">
        <v>0.5</v>
      </c>
      <c r="J41" s="11" t="n">
        <f aca="false">F41/H41*I41</f>
        <v>15.455</v>
      </c>
      <c r="K41" s="4" t="s">
        <v>156</v>
      </c>
      <c r="L41" s="6" t="s">
        <v>321</v>
      </c>
    </row>
    <row r="42" customFormat="false" ht="15" hidden="false" customHeight="false" outlineLevel="0" collapsed="false">
      <c r="A42" s="4" t="s">
        <v>120</v>
      </c>
      <c r="B42" s="9" t="s">
        <v>322</v>
      </c>
      <c r="C42" s="4" t="s">
        <v>36</v>
      </c>
      <c r="D42" s="9" t="s">
        <v>323</v>
      </c>
      <c r="E42" s="21" t="s">
        <v>324</v>
      </c>
      <c r="F42" s="22" t="n">
        <v>3.28</v>
      </c>
      <c r="G42" s="9" t="s">
        <v>155</v>
      </c>
      <c r="H42" s="10" t="n">
        <v>5</v>
      </c>
      <c r="I42" s="10" t="n">
        <v>1</v>
      </c>
      <c r="J42" s="11" t="n">
        <f aca="false">F42/H42*I42</f>
        <v>0.656</v>
      </c>
      <c r="K42" s="4" t="s">
        <v>156</v>
      </c>
      <c r="L42" s="6" t="s">
        <v>325</v>
      </c>
    </row>
    <row r="43" customFormat="false" ht="15" hidden="false" customHeight="false" outlineLevel="0" collapsed="false">
      <c r="A43" s="4" t="s">
        <v>123</v>
      </c>
      <c r="B43" s="9" t="s">
        <v>326</v>
      </c>
      <c r="C43" s="4" t="s">
        <v>327</v>
      </c>
      <c r="D43" s="9" t="s">
        <v>328</v>
      </c>
      <c r="E43" s="21" t="s">
        <v>329</v>
      </c>
      <c r="F43" s="22" t="n">
        <v>35.75</v>
      </c>
      <c r="G43" s="9" t="s">
        <v>155</v>
      </c>
      <c r="H43" s="10" t="n">
        <v>1</v>
      </c>
      <c r="I43" s="10" t="n">
        <v>1</v>
      </c>
      <c r="J43" s="11" t="n">
        <f aca="false">F43/H43*I43</f>
        <v>35.75</v>
      </c>
      <c r="K43" s="4" t="s">
        <v>156</v>
      </c>
      <c r="L43" s="6" t="s">
        <v>330</v>
      </c>
    </row>
    <row r="44" customFormat="false" ht="23.85" hidden="false" customHeight="false" outlineLevel="0" collapsed="false">
      <c r="A44" s="4" t="s">
        <v>123</v>
      </c>
      <c r="B44" s="9" t="s">
        <v>331</v>
      </c>
      <c r="C44" s="4" t="s">
        <v>103</v>
      </c>
      <c r="D44" s="9" t="s">
        <v>319</v>
      </c>
      <c r="E44" s="21" t="s">
        <v>320</v>
      </c>
      <c r="F44" s="22" t="n">
        <v>30.91</v>
      </c>
      <c r="G44" s="9" t="s">
        <v>155</v>
      </c>
      <c r="H44" s="10" t="n">
        <v>1</v>
      </c>
      <c r="I44" s="10" t="n">
        <v>1</v>
      </c>
      <c r="J44" s="11" t="n">
        <f aca="false">F44/H44*I44</f>
        <v>30.91</v>
      </c>
      <c r="K44" s="4" t="s">
        <v>156</v>
      </c>
      <c r="L44" s="6" t="s">
        <v>332</v>
      </c>
    </row>
    <row r="45" customFormat="false" ht="15" hidden="false" customHeight="false" outlineLevel="0" collapsed="false">
      <c r="A45" s="4" t="s">
        <v>126</v>
      </c>
      <c r="B45" s="9" t="s">
        <v>333</v>
      </c>
      <c r="C45" s="4" t="s">
        <v>67</v>
      </c>
      <c r="D45" s="9" t="s">
        <v>334</v>
      </c>
      <c r="E45" s="21" t="s">
        <v>335</v>
      </c>
      <c r="F45" s="22" t="n">
        <v>93.63</v>
      </c>
      <c r="G45" s="9" t="s">
        <v>155</v>
      </c>
      <c r="H45" s="10" t="n">
        <v>1</v>
      </c>
      <c r="I45" s="10" t="n">
        <v>1</v>
      </c>
      <c r="J45" s="11" t="n">
        <f aca="false">F45/H45*I45</f>
        <v>93.63</v>
      </c>
      <c r="K45" s="4" t="s">
        <v>156</v>
      </c>
      <c r="L45" s="6" t="s">
        <v>336</v>
      </c>
    </row>
  </sheetData>
  <autoFilter ref="A1:L45"/>
  <hyperlinks>
    <hyperlink ref="E2" r:id="rId1" display="https://www.usinainfo.com.br/display-arduino/modulo-display-tm1637-7-segmentos-4-digitos-vermelho-2943.html"/>
    <hyperlink ref="E3" r:id="rId2" display="https://www.usinainfo.com.br/display-arduino/modulo-display-led-8-digitos-com-interface-controle-spi-max7219-4416.html"/>
    <hyperlink ref="E4" r:id="rId3" display="https://www.makerhero.com/produto/raspberry-pi-pico/"/>
    <hyperlink ref="E5" r:id="rId4" display="https://www.saravati.com.br/modulo-conversor-de-dados-ttl-para-rs485-max485.html"/>
    <hyperlink ref="E6" r:id="rId5" display="https://www.sparkfun.com/w5500-evb-pico.html"/>
    <hyperlink ref="E7" r:id="rId6" display="https://www.mceig.com.br/produto/lrs-150-12-fonte-chaveada-150w-85-264vca-120-373vcc-saida-12vcc-12-5a-mean-well/"/>
    <hyperlink ref="E8" r:id="rId7" display="https://www.mceig.com.br/produto/rsp-150-5-fonte-chaveada-fechada-150w-85-264vca-120-370vcc-saida-5v-30a-mean-well/"/>
    <hyperlink ref="E9" r:id="rId8" display="https://www.saravati.com.br/modulo-mini-conversor-de-tensao-dc-dc-mp1584en-step-down.html"/>
    <hyperlink ref="E10" r:id="rId9" display="https://www.usinainfo.com.br/interruptores-e-pulsadores/interruptor-pulsador-16mm-com-led-vermelho-12-24v-em-aco-inox-impermeavel-3134.html"/>
    <hyperlink ref="E11" r:id="rId10" display="https://www.multcomercial.com.br/conector-jack-rj45-femea-com-8-vias-blindado-90-pci-jl46057.html"/>
    <hyperlink ref="E12" r:id="rId11" display="https://www.kabum.com.br/produto/328777/plug-conector-rj45-macho-cat-5e-8-vias-crimpar-100-unidades-"/>
    <hyperlink ref="E13" r:id="rId12" display="https://www.kabum.com.br/produto/114681/cabo-de-rede-cat-5e-furukawa-305-metros-branco-23200101"/>
    <hyperlink ref="E16" r:id="rId13" display="https://www.eletrogate.com/placa-fenolite-perfurada-7x5cm"/>
    <hyperlink ref="E17" r:id="rId14" display="https://www.baudaeletronica.com.br/produto/borne-kre-kf128-2-vias-verde.html"/>
    <hyperlink ref="E18" r:id="rId15" display="https://www.usinainfo.com.br/caixas-patola/caixa-patola-pb-22070-para-montagem-71-x-228-x-190-mm-4383.html"/>
    <hyperlink ref="E19" r:id="rId16" display="https://www.usinainfo.com.br/coolers-para-pc/cooler-pc-40x40mm-fan-12v-3041.html"/>
    <hyperlink ref="E20" r:id="rId17" display="https://www.usinainfo.com.br/coolers-para-pc/grade-para-cooler-40mm-metalica-8398.html"/>
    <hyperlink ref="E21" r:id="rId18" display="https://www.usinainfo.com.br/caixas-patola/trilho-din-patola-fdo-037-para-projetos-8532.html"/>
    <hyperlink ref="E22" r:id="rId19" display="https://www.leroymerlin.com.br/minidisjuntor-unipolar-2a-mdwp-c2a-weg_1572704659"/>
    <hyperlink ref="E23" r:id="rId20" display="https://www.baudaeletronica.com.br/produto/borne-kre-kf128-2-vias-verde.html"/>
    <hyperlink ref="E24" r:id="rId21" display="https://www.telhanorte.com.br/canaleta-pvc-20x10mm-2m-com-adesivo-preto-forceline-2633671/p"/>
    <hyperlink ref="E25" r:id="rId22" display="https://www.leroymerlin.com.br/abracadeira-de-nylon-200x2,5mm-preta-com-100-pecas-vonder_1567218483"/>
    <hyperlink ref="E26" r:id="rId23" display="https://www.kalunga.com.br/prod/etiqueta-ink-jet-laser-carta-33-9x101-6-6182-pimaco-pt-1400-un/278998"/>
    <hyperlink ref="E27" r:id="rId24" display="https://www.kabum.com.br/produto/429922/switch-tp-link-tl-sg1024de-24-portas-10-100-1000-gigabit-gerenciavel-rack"/>
    <hyperlink ref="E28" r:id="rId25" display="https://www.kabum.com.br/produto/722927/cabo-pp-3x1-00-mm-eletrico-flexivel-preto-50-metros"/>
    <hyperlink ref="E29" r:id="rId26" display="https://www.leroymerlin.com.br/pino-plug-macho-ilumi-prensa-cabo-2p-t-10a-embalagem-com-10-unidades_1568301310"/>
    <hyperlink ref="E30" r:id="rId27" display="https://www.leroymerlin.com.br/protetor-de-surto-dps-classe-ii-iii-20ka-275vca-fase_1570251308"/>
    <hyperlink ref="E31" r:id="rId28" display="https://www.kabum.com.br/produto/386101/kit-cabo-de-rede-nexans-40-metros-alicate-testador-10xrj45-cat5e"/>
    <hyperlink ref="E32" r:id="rId29" display="https://www.leroymerlin.com.br/estacao-de-solda-analogica-60w-220v-hk936a-preta-hikari_1566757438"/>
    <hyperlink ref="E33" r:id="rId30" display="https://www.usinainfo.com.br/multimetros/multimetro-digital-hikari-hm-1001-cat-i-1000v-5502.html"/>
    <hyperlink ref="E34" r:id="rId31" display="https://www.leroymerlin.com.br/solda-estanho-cobix-1-0mm-60x40-500g_1566817011"/>
    <hyperlink ref="E35" r:id="rId32" display="https://www.kabum.com.br/produto/229971/nobreak-intelbras-xnb-720va-bivolt-4822010"/>
    <hyperlink ref="E36" r:id="rId33" display="https://www.kabum.com.br/produto/291255/mini-rack-05u-x-19p-x-370mm-montado-mrm-537-preto-intelbras"/>
    <hyperlink ref="E37" r:id="rId34" display="https://www.kabum.com.br/produto/235380/organizador-de-cabos-intelbras-para-rack-1u-40-mm-och1u-40"/>
    <hyperlink ref="E38" r:id="rId35" display="https://www.kabum.com.br/produto/233241/cabo-de-rede-md9-patch-cord-1-5m-azul-cat5e"/>
    <hyperlink ref="E40" r:id="rId36" display="https://www.luzautomacao.com.br/produto/sinaleiro-led-22mm-12v-amarelo-metaltex"/>
    <hyperlink ref="E41" r:id="rId37" display="https://www.leroymerlin.com.br/perfil-aluminio-preto-l-013-cantoneira-1-pol-25mm-acabamento-canto-parede-barra-1-mt_1572585517"/>
    <hyperlink ref="E42" r:id="rId38" display="https://www.usinainfo.com.br/transistor-bc/transistor-bc337-para-projetos-kit-com-5-unidades-2998.html"/>
    <hyperlink ref="E43" r:id="rId39" display="https://www.keymoveis.com.br/plano-de-mdf-cru-120x60"/>
    <hyperlink ref="E44" r:id="rId40" display="https://www.leroymerlin.com.br/perfil-aluminio-preto-l-013-cantoneira-1-pol-25mm-acabamento-canto-parede-barra-1-mt_1572585517"/>
    <hyperlink ref="E45" r:id="rId41" display="https://www.kabum.com.br/produto/205611/switch-5-portas-10-100-1000-gigabit-mesa-tl-sg1005d-tp-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6"/>
    <col collapsed="false" customWidth="true" hidden="false" outlineLevel="0" max="9" min="9" style="0" width="3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337</v>
      </c>
    </row>
    <row r="2" customFormat="false" ht="39.75" hidden="false" customHeight="true" outlineLevel="0" collapsed="false">
      <c r="A2" s="2" t="s">
        <v>338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3.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339</v>
      </c>
      <c r="F4" s="3" t="s">
        <v>27</v>
      </c>
      <c r="G4" s="3" t="s">
        <v>340</v>
      </c>
      <c r="H4" s="3" t="s">
        <v>29</v>
      </c>
      <c r="I4" s="3" t="s">
        <v>30</v>
      </c>
      <c r="J4" s="3" t="s">
        <v>31</v>
      </c>
    </row>
    <row r="5" customFormat="false" ht="15" hidden="false" customHeight="false" outlineLevel="0" collapsed="false">
      <c r="A5" s="4" t="s">
        <v>341</v>
      </c>
      <c r="B5" s="9" t="s">
        <v>342</v>
      </c>
      <c r="C5" s="4" t="s">
        <v>34</v>
      </c>
      <c r="D5" s="5" t="n">
        <f aca="false">SUMIF('RFID - Fontes'!$A$2:$A$12,A5,'RFID - Fontes'!$J$2:$J$12)</f>
        <v>2.3741</v>
      </c>
      <c r="E5" s="10" t="n">
        <v>250</v>
      </c>
      <c r="F5" s="10" t="n">
        <v>5000</v>
      </c>
      <c r="G5" s="11" t="n">
        <f aca="false">D5*E5</f>
        <v>593.525</v>
      </c>
      <c r="H5" s="11" t="n">
        <f aca="false">D5*F5</f>
        <v>11870.5</v>
      </c>
      <c r="I5" s="6" t="s">
        <v>343</v>
      </c>
      <c r="J5" s="12" t="s">
        <v>344</v>
      </c>
    </row>
    <row r="6" customFormat="false" ht="15" hidden="false" customHeight="false" outlineLevel="0" collapsed="false">
      <c r="A6" s="4" t="s">
        <v>345</v>
      </c>
      <c r="B6" s="9" t="s">
        <v>346</v>
      </c>
      <c r="C6" s="4" t="s">
        <v>34</v>
      </c>
      <c r="D6" s="5" t="n">
        <f aca="false">SUMIF('RFID - Fontes'!$A$2:$A$12,A6,'RFID - Fontes'!$J$2:$J$12)</f>
        <v>0.0063</v>
      </c>
      <c r="E6" s="10" t="n">
        <v>250</v>
      </c>
      <c r="F6" s="10" t="n">
        <v>5000</v>
      </c>
      <c r="G6" s="11" t="n">
        <f aca="false">D6*E6</f>
        <v>1.575</v>
      </c>
      <c r="H6" s="11" t="n">
        <f aca="false">D6*F6</f>
        <v>31.5</v>
      </c>
      <c r="I6" s="6" t="s">
        <v>343</v>
      </c>
      <c r="J6" s="12" t="s">
        <v>255</v>
      </c>
    </row>
    <row r="7" customFormat="false" ht="15" hidden="false" customHeight="false" outlineLevel="0" collapsed="false">
      <c r="A7" s="4" t="s">
        <v>347</v>
      </c>
      <c r="B7" s="9" t="s">
        <v>348</v>
      </c>
      <c r="C7" s="4" t="s">
        <v>34</v>
      </c>
      <c r="D7" s="5" t="n">
        <f aca="false">SUMIF('RFID - Fontes'!$A$2:$A$12,A7,'RFID - Fontes'!$J$2:$J$12)</f>
        <v>29.89</v>
      </c>
      <c r="E7" s="10" t="n">
        <v>5</v>
      </c>
      <c r="F7" s="10" t="n">
        <v>88</v>
      </c>
      <c r="G7" s="11" t="n">
        <f aca="false">D7*E7</f>
        <v>149.45</v>
      </c>
      <c r="H7" s="11" t="n">
        <f aca="false">D7*F7</f>
        <v>2630.32</v>
      </c>
      <c r="I7" s="6" t="s">
        <v>349</v>
      </c>
      <c r="J7" s="12" t="s">
        <v>36</v>
      </c>
    </row>
    <row r="8" customFormat="false" ht="15" hidden="false" customHeight="false" outlineLevel="0" collapsed="false">
      <c r="A8" s="4" t="s">
        <v>350</v>
      </c>
      <c r="B8" s="9" t="s">
        <v>351</v>
      </c>
      <c r="C8" s="4" t="s">
        <v>34</v>
      </c>
      <c r="D8" s="5" t="n">
        <f aca="false">SUMIF('RFID - Fontes'!$A$2:$A$12,A8,'RFID - Fontes'!$J$2:$J$12)</f>
        <v>42.65</v>
      </c>
      <c r="E8" s="10" t="n">
        <v>5</v>
      </c>
      <c r="F8" s="10" t="n">
        <v>88</v>
      </c>
      <c r="G8" s="11" t="n">
        <f aca="false">D8*E8</f>
        <v>213.25</v>
      </c>
      <c r="H8" s="11" t="n">
        <f aca="false">D8*F8</f>
        <v>3753.2</v>
      </c>
      <c r="I8" s="6" t="s">
        <v>349</v>
      </c>
      <c r="J8" s="12" t="s">
        <v>43</v>
      </c>
    </row>
    <row r="9" customFormat="false" ht="23.85" hidden="false" customHeight="false" outlineLevel="0" collapsed="false">
      <c r="A9" s="4" t="s">
        <v>352</v>
      </c>
      <c r="B9" s="9" t="s">
        <v>353</v>
      </c>
      <c r="C9" s="4" t="s">
        <v>86</v>
      </c>
      <c r="D9" s="13" t="n">
        <f aca="false">SUMIF('RFID - Fontes'!$A$2:$A$12,A9,'RFID - Fontes'!$J$2:$J$12)</f>
        <v>34.05</v>
      </c>
      <c r="E9" s="10" t="n">
        <v>5</v>
      </c>
      <c r="F9" s="10" t="n">
        <v>88</v>
      </c>
      <c r="G9" s="11" t="n">
        <f aca="false">D9*E9</f>
        <v>170.25</v>
      </c>
      <c r="H9" s="11" t="n">
        <f aca="false">D9*F9</f>
        <v>2996.4</v>
      </c>
      <c r="I9" s="6" t="s">
        <v>349</v>
      </c>
      <c r="J9" s="14" t="s">
        <v>354</v>
      </c>
    </row>
    <row r="10" customFormat="false" ht="23.85" hidden="false" customHeight="false" outlineLevel="0" collapsed="false">
      <c r="A10" s="4" t="s">
        <v>355</v>
      </c>
      <c r="B10" s="9" t="s">
        <v>356</v>
      </c>
      <c r="C10" s="4" t="s">
        <v>34</v>
      </c>
      <c r="D10" s="5" t="n">
        <f aca="false">SUMIF('RFID - Fontes'!$A$2:$A$12,A10,'RFID - Fontes'!$J$2:$J$12)</f>
        <v>6.507</v>
      </c>
      <c r="E10" s="10" t="n">
        <v>5</v>
      </c>
      <c r="F10" s="10" t="n">
        <v>88</v>
      </c>
      <c r="G10" s="11" t="n">
        <f aca="false">D10*E10</f>
        <v>32.535</v>
      </c>
      <c r="H10" s="11" t="n">
        <f aca="false">D10*F10</f>
        <v>572.616</v>
      </c>
      <c r="I10" s="6" t="s">
        <v>349</v>
      </c>
      <c r="J10" s="9" t="s">
        <v>357</v>
      </c>
    </row>
    <row r="11" customFormat="false" ht="15" hidden="false" customHeight="false" outlineLevel="0" collapsed="false">
      <c r="A11" s="4" t="s">
        <v>358</v>
      </c>
      <c r="B11" s="9" t="s">
        <v>359</v>
      </c>
      <c r="C11" s="4" t="s">
        <v>34</v>
      </c>
      <c r="D11" s="5" t="n">
        <f aca="false">SUMIF('RFID - Fontes'!$A$2:$A$12,A11,'RFID - Fontes'!$J$2:$J$12)</f>
        <v>27.4</v>
      </c>
      <c r="E11" s="10" t="n">
        <v>2</v>
      </c>
      <c r="F11" s="10" t="n">
        <v>40</v>
      </c>
      <c r="G11" s="11" t="n">
        <f aca="false">D11*E11</f>
        <v>54.8</v>
      </c>
      <c r="H11" s="11" t="n">
        <f aca="false">D11*F11</f>
        <v>1096</v>
      </c>
      <c r="I11" s="6" t="s">
        <v>122</v>
      </c>
      <c r="J11" s="12" t="s">
        <v>67</v>
      </c>
    </row>
    <row r="12" customFormat="false" ht="15" hidden="false" customHeight="false" outlineLevel="0" collapsed="false">
      <c r="A12" s="4"/>
      <c r="B12" s="4" t="s">
        <v>128</v>
      </c>
      <c r="C12" s="4"/>
      <c r="D12" s="4"/>
      <c r="E12" s="4"/>
      <c r="F12" s="4"/>
      <c r="G12" s="11" t="n">
        <f aca="false">SUM(G5:G11)*Premissas!$B$6</f>
        <v>60.76925</v>
      </c>
      <c r="H12" s="11" t="n">
        <f aca="false">SUM(H5:H11)*Premissas!$B$6</f>
        <v>1147.5268</v>
      </c>
      <c r="I12" s="4"/>
      <c r="J12" s="4"/>
    </row>
    <row r="13" customFormat="false" ht="15" hidden="false" customHeight="false" outlineLevel="0" collapsed="false">
      <c r="A13" s="15" t="s">
        <v>129</v>
      </c>
      <c r="B13" s="16"/>
      <c r="C13" s="16"/>
      <c r="D13" s="16"/>
      <c r="E13" s="16"/>
      <c r="F13" s="16"/>
      <c r="G13" s="17" t="n">
        <f aca="false">SUM(G5:G12)</f>
        <v>1276.15425</v>
      </c>
      <c r="H13" s="17" t="n">
        <f aca="false">SUM(H5:H12)</f>
        <v>24098.0628</v>
      </c>
      <c r="I13" s="16"/>
      <c r="J13" s="16"/>
    </row>
    <row r="15" customFormat="false" ht="27.75" hidden="false" customHeight="true" outlineLevel="0" collapsed="false">
      <c r="A15" s="2" t="s">
        <v>360</v>
      </c>
      <c r="B15" s="2"/>
      <c r="C15" s="2"/>
      <c r="D15" s="2"/>
      <c r="E15" s="2"/>
      <c r="F15" s="2"/>
      <c r="G15" s="2"/>
      <c r="H15" s="2"/>
      <c r="I15" s="2"/>
      <c r="J15" s="2"/>
    </row>
  </sheetData>
  <mergeCells count="2">
    <mergeCell ref="A2:J2"/>
    <mergeCell ref="A15:J15"/>
  </mergeCells>
  <hyperlinks>
    <hyperlink ref="J5" r:id="rId1" display="Loja RFID"/>
    <hyperlink ref="J6" r:id="rId2" display="Kalunga"/>
    <hyperlink ref="J7" r:id="rId3" display="Usinainfo"/>
    <hyperlink ref="J8" r:id="rId4" display="MakerHero"/>
    <hyperlink ref="J11" r:id="rId5" display="KaBu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62"/>
  </cols>
  <sheetData>
    <row r="1" customFormat="false" ht="42" hidden="false" customHeight="true" outlineLevel="0" collapsed="false">
      <c r="A1" s="3" t="s">
        <v>22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5</v>
      </c>
    </row>
    <row r="2" customFormat="false" ht="23.85" hidden="false" customHeight="false" outlineLevel="0" collapsed="false">
      <c r="A2" s="4" t="s">
        <v>341</v>
      </c>
      <c r="B2" s="9" t="s">
        <v>361</v>
      </c>
      <c r="C2" s="4" t="s">
        <v>344</v>
      </c>
      <c r="D2" s="9" t="s">
        <v>362</v>
      </c>
      <c r="E2" s="21" t="s">
        <v>363</v>
      </c>
      <c r="F2" s="22" t="n">
        <v>237.41</v>
      </c>
      <c r="G2" s="9" t="s">
        <v>364</v>
      </c>
      <c r="H2" s="10" t="n">
        <v>100</v>
      </c>
      <c r="I2" s="10" t="n">
        <v>1</v>
      </c>
      <c r="J2" s="11" t="n">
        <f aca="false">F2/H2*I2</f>
        <v>2.3741</v>
      </c>
      <c r="K2" s="4" t="s">
        <v>156</v>
      </c>
      <c r="L2" s="6" t="s">
        <v>365</v>
      </c>
    </row>
    <row r="3" customFormat="false" ht="23.85" hidden="false" customHeight="false" outlineLevel="0" collapsed="false">
      <c r="A3" s="4" t="s">
        <v>345</v>
      </c>
      <c r="B3" s="9" t="s">
        <v>366</v>
      </c>
      <c r="C3" s="4" t="s">
        <v>255</v>
      </c>
      <c r="D3" s="9" t="s">
        <v>367</v>
      </c>
      <c r="E3" s="21" t="s">
        <v>368</v>
      </c>
      <c r="F3" s="22" t="n">
        <v>18.9</v>
      </c>
      <c r="G3" s="9" t="s">
        <v>243</v>
      </c>
      <c r="H3" s="10" t="n">
        <v>3000</v>
      </c>
      <c r="I3" s="10" t="n">
        <v>1</v>
      </c>
      <c r="J3" s="11" t="n">
        <f aca="false">F3/H3*I3</f>
        <v>0.0063</v>
      </c>
      <c r="K3" s="4" t="s">
        <v>156</v>
      </c>
      <c r="L3" s="6" t="s">
        <v>369</v>
      </c>
    </row>
    <row r="4" customFormat="false" ht="15" hidden="false" customHeight="false" outlineLevel="0" collapsed="false">
      <c r="A4" s="4" t="s">
        <v>347</v>
      </c>
      <c r="B4" s="9" t="s">
        <v>370</v>
      </c>
      <c r="C4" s="4" t="s">
        <v>36</v>
      </c>
      <c r="D4" s="9" t="s">
        <v>371</v>
      </c>
      <c r="E4" s="21" t="s">
        <v>372</v>
      </c>
      <c r="F4" s="22" t="n">
        <v>29.89</v>
      </c>
      <c r="G4" s="9" t="s">
        <v>155</v>
      </c>
      <c r="H4" s="10" t="n">
        <v>1</v>
      </c>
      <c r="I4" s="10" t="n">
        <v>1</v>
      </c>
      <c r="J4" s="11" t="n">
        <f aca="false">F4/H4*I4</f>
        <v>29.89</v>
      </c>
      <c r="K4" s="4" t="s">
        <v>156</v>
      </c>
      <c r="L4" s="6" t="s">
        <v>373</v>
      </c>
    </row>
    <row r="5" customFormat="false" ht="15" hidden="false" customHeight="false" outlineLevel="0" collapsed="false">
      <c r="A5" s="4" t="s">
        <v>350</v>
      </c>
      <c r="B5" s="9" t="s">
        <v>374</v>
      </c>
      <c r="C5" s="4" t="s">
        <v>43</v>
      </c>
      <c r="D5" s="9" t="s">
        <v>375</v>
      </c>
      <c r="E5" s="21" t="s">
        <v>376</v>
      </c>
      <c r="F5" s="22" t="n">
        <v>42.65</v>
      </c>
      <c r="G5" s="9" t="s">
        <v>155</v>
      </c>
      <c r="H5" s="10" t="n">
        <v>1</v>
      </c>
      <c r="I5" s="10" t="n">
        <v>1</v>
      </c>
      <c r="J5" s="11" t="n">
        <f aca="false">F5/H5*I5</f>
        <v>42.65</v>
      </c>
      <c r="K5" s="4" t="s">
        <v>156</v>
      </c>
      <c r="L5" s="6" t="s">
        <v>377</v>
      </c>
    </row>
    <row r="6" customFormat="false" ht="32.8" hidden="false" customHeight="false" outlineLevel="0" collapsed="false">
      <c r="A6" s="4" t="s">
        <v>352</v>
      </c>
      <c r="B6" s="9" t="s">
        <v>378</v>
      </c>
      <c r="C6" s="4" t="s">
        <v>379</v>
      </c>
      <c r="D6" s="9" t="s">
        <v>380</v>
      </c>
      <c r="E6" s="21" t="s">
        <v>381</v>
      </c>
      <c r="F6" s="24" t="n">
        <v>25</v>
      </c>
      <c r="G6" s="14" t="s">
        <v>382</v>
      </c>
      <c r="H6" s="10" t="n">
        <v>1</v>
      </c>
      <c r="I6" s="10" t="n">
        <v>1</v>
      </c>
      <c r="J6" s="11" t="n">
        <f aca="false">F6/H6*I6</f>
        <v>25</v>
      </c>
      <c r="K6" s="4" t="s">
        <v>156</v>
      </c>
      <c r="L6" s="6" t="s">
        <v>383</v>
      </c>
    </row>
    <row r="7" customFormat="false" ht="23.85" hidden="false" customHeight="false" outlineLevel="0" collapsed="false">
      <c r="A7" s="4" t="s">
        <v>352</v>
      </c>
      <c r="B7" s="9" t="s">
        <v>384</v>
      </c>
      <c r="C7" s="4" t="s">
        <v>215</v>
      </c>
      <c r="D7" s="9" t="s">
        <v>385</v>
      </c>
      <c r="E7" s="21" t="s">
        <v>386</v>
      </c>
      <c r="F7" s="22" t="n">
        <v>4.66</v>
      </c>
      <c r="G7" s="9" t="s">
        <v>155</v>
      </c>
      <c r="H7" s="10" t="n">
        <v>1</v>
      </c>
      <c r="I7" s="10" t="n">
        <v>1</v>
      </c>
      <c r="J7" s="11" t="n">
        <f aca="false">F7/H7*I7</f>
        <v>4.66</v>
      </c>
      <c r="K7" s="4" t="s">
        <v>156</v>
      </c>
      <c r="L7" s="6" t="s">
        <v>387</v>
      </c>
    </row>
    <row r="8" customFormat="false" ht="15" hidden="false" customHeight="false" outlineLevel="0" collapsed="false">
      <c r="A8" s="4" t="s">
        <v>352</v>
      </c>
      <c r="B8" s="9" t="s">
        <v>388</v>
      </c>
      <c r="C8" s="4" t="s">
        <v>215</v>
      </c>
      <c r="D8" s="9" t="s">
        <v>389</v>
      </c>
      <c r="E8" s="21" t="s">
        <v>390</v>
      </c>
      <c r="F8" s="22" t="n">
        <v>4.18</v>
      </c>
      <c r="G8" s="9" t="s">
        <v>155</v>
      </c>
      <c r="H8" s="10" t="n">
        <v>1</v>
      </c>
      <c r="I8" s="10" t="n">
        <v>1</v>
      </c>
      <c r="J8" s="11" t="n">
        <f aca="false">F8/H8*I8</f>
        <v>4.18</v>
      </c>
      <c r="K8" s="4" t="s">
        <v>156</v>
      </c>
      <c r="L8" s="6" t="s">
        <v>391</v>
      </c>
    </row>
    <row r="9" customFormat="false" ht="15" hidden="false" customHeight="false" outlineLevel="0" collapsed="false">
      <c r="A9" s="4" t="s">
        <v>352</v>
      </c>
      <c r="B9" s="9" t="s">
        <v>392</v>
      </c>
      <c r="C9" s="4" t="s">
        <v>215</v>
      </c>
      <c r="D9" s="9" t="s">
        <v>393</v>
      </c>
      <c r="E9" s="21" t="s">
        <v>394</v>
      </c>
      <c r="F9" s="22" t="n">
        <v>0.21</v>
      </c>
      <c r="G9" s="9" t="s">
        <v>155</v>
      </c>
      <c r="H9" s="10" t="n">
        <v>1</v>
      </c>
      <c r="I9" s="10" t="n">
        <v>1</v>
      </c>
      <c r="J9" s="11" t="n">
        <f aca="false">F9/H9*I9</f>
        <v>0.21</v>
      </c>
      <c r="K9" s="4" t="s">
        <v>156</v>
      </c>
      <c r="L9" s="6" t="s">
        <v>395</v>
      </c>
    </row>
    <row r="10" customFormat="false" ht="15" hidden="false" customHeight="false" outlineLevel="0" collapsed="false">
      <c r="A10" s="4" t="s">
        <v>355</v>
      </c>
      <c r="B10" s="9" t="s">
        <v>396</v>
      </c>
      <c r="C10" s="4" t="s">
        <v>36</v>
      </c>
      <c r="D10" s="9" t="s">
        <v>397</v>
      </c>
      <c r="E10" s="21" t="s">
        <v>398</v>
      </c>
      <c r="F10" s="22" t="n">
        <v>5.94</v>
      </c>
      <c r="G10" s="9" t="s">
        <v>179</v>
      </c>
      <c r="H10" s="10" t="n">
        <v>1</v>
      </c>
      <c r="I10" s="10" t="n">
        <v>1</v>
      </c>
      <c r="J10" s="11" t="n">
        <f aca="false">F10/H10*I10</f>
        <v>5.94</v>
      </c>
      <c r="K10" s="4" t="s">
        <v>156</v>
      </c>
      <c r="L10" s="6" t="s">
        <v>399</v>
      </c>
    </row>
    <row r="11" customFormat="false" ht="23.85" hidden="false" customHeight="false" outlineLevel="0" collapsed="false">
      <c r="A11" s="4" t="s">
        <v>355</v>
      </c>
      <c r="B11" s="9" t="s">
        <v>400</v>
      </c>
      <c r="C11" s="4" t="s">
        <v>103</v>
      </c>
      <c r="D11" s="9" t="s">
        <v>401</v>
      </c>
      <c r="E11" s="21" t="s">
        <v>402</v>
      </c>
      <c r="F11" s="22" t="n">
        <v>18.9</v>
      </c>
      <c r="G11" s="9" t="s">
        <v>243</v>
      </c>
      <c r="H11" s="10" t="n">
        <v>10</v>
      </c>
      <c r="I11" s="10" t="n">
        <v>0.3</v>
      </c>
      <c r="J11" s="11" t="n">
        <f aca="false">F11/H11*I11</f>
        <v>0.567</v>
      </c>
      <c r="K11" s="4" t="s">
        <v>156</v>
      </c>
      <c r="L11" s="6" t="s">
        <v>403</v>
      </c>
    </row>
    <row r="12" customFormat="false" ht="23.85" hidden="false" customHeight="false" outlineLevel="0" collapsed="false">
      <c r="A12" s="4" t="s">
        <v>358</v>
      </c>
      <c r="B12" s="9" t="s">
        <v>404</v>
      </c>
      <c r="C12" s="4" t="s">
        <v>67</v>
      </c>
      <c r="D12" s="9" t="s">
        <v>405</v>
      </c>
      <c r="E12" s="21" t="s">
        <v>406</v>
      </c>
      <c r="F12" s="22" t="n">
        <v>27.4</v>
      </c>
      <c r="G12" s="9" t="s">
        <v>155</v>
      </c>
      <c r="H12" s="10" t="n">
        <v>1</v>
      </c>
      <c r="I12" s="10" t="n">
        <v>1</v>
      </c>
      <c r="J12" s="11" t="n">
        <f aca="false">F12/H12*I12</f>
        <v>27.4</v>
      </c>
      <c r="K12" s="4" t="s">
        <v>156</v>
      </c>
      <c r="L12" s="6" t="s">
        <v>407</v>
      </c>
    </row>
  </sheetData>
  <autoFilter ref="A1:L12"/>
  <hyperlinks>
    <hyperlink ref="E2" r:id="rId1" display="https://loja.lojarfid.com.br/13-56-mhz-mf/etiquetas/etiqueta-rfid-13-56-mhz-nfc-ntag213-branca-100-unidades"/>
    <hyperlink ref="E3" r:id="rId2" display="https://www.kalunga.com.br/prod/fita-adesiva-transparente-pp-45mm-x-45m-stick-tape-pt-4-un/305591"/>
    <hyperlink ref="E4" r:id="rId3" display="https://www.usinainfo.com.br/esp32/esp32-c3-super-mini-com-wifi-e-bluetooth-com-usb-c-8967.html"/>
    <hyperlink ref="E5" r:id="rId4" display="https://www.makerhero.com/produto/kit-modulo-leitor-rfid-nfc-pn532/"/>
    <hyperlink ref="E6" r:id="rId5" display="https://www.robocore.net/loja/baterias/bateria-lipo-1s-530mah-30c"/>
    <hyperlink ref="E7" r:id="rId6" display="https://www.eletrogate.com/modulo-carregador-de-baterias-de-litio-tp4056-com-protecao-usb-c"/>
    <hyperlink ref="E8" r:id="rId7" display="https://www.eletrogate.com/micro-motor-de-vibracao-vibracall"/>
    <hyperlink ref="E9" r:id="rId8" display="https://www.eletrogate.com/push-button-chave-tactil-6x6x6mm"/>
    <hyperlink ref="E10" r:id="rId9" display="https://www.usinainfo.com.br/caixas-patola/caixa-patola-pb-060-para-montagem-29-x-52-x-64-mm-8284.html"/>
    <hyperlink ref="E11" r:id="rId10" display="https://www.leroymerlin.com.br/fita-fecho-de-contato-%7C-organizador-de-cabos-preto-%7C-rolo-10m-x-10mm_1571751164"/>
    <hyperlink ref="E12" r:id="rId11" display="https://www.kabum.com.br/produto/394690/carregador-de-tomada-universal-usb-kaidi-carregador-domestico-2-portas-branco-kd-3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2026-10-27T17:54:53Z</dcterms:created>
  <dc:creator>openpyxl</dc:creator>
  <dc:description/>
  <dc:language>en-US</dc:language>
  <cp:lastModifiedBy/>
  <dcterms:modified xsi:type="dcterms:W3CDTF">2026-10-27T17:54:53Z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