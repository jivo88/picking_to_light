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Fontes" sheetId="6" state="visible" r:id="rId8"/>
    <sheet name="Composição" sheetId="7" state="visible" r:id="rId9"/>
    <sheet name="A-Interno" sheetId="8" state="visible" r:id="rId10"/>
    <sheet name="A-Terceiros" sheetId="9" state="visible" r:id="rId11"/>
    <sheet name="RFID-futuro" sheetId="10" state="visible" r:id="rId12"/>
    <sheet name="Software" sheetId="11" state="visible" r:id="rId13"/>
    <sheet name="POC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<sst xmlns="http://schemas.openxmlformats.org/spreadsheetml/2006/main" count="1441" uniqueCount="863">
  <si>
    <t xml:space="preserve">Orçamento do projeto Pick-to-Light (flow rack)</t>
  </si>
  <si>
    <t xml:space="preserve">Arquitetura A: coletor MovFast + concentrador + displays. RFID com pulseira fica como melhoria futura. Revisão 26/10/2026.</t>
  </si>
  <si>
    <t xml:space="preserve">COMO USAR</t>
  </si>
  <si>
    <t xml:space="preserve">• Células em AZUL são entradas editáveis (quantidades, preços, premissas). Células em PRETO são fórmulas: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</si>
  <si>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</si>
  <si>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ali: todo o orçamento recalcula.</t>
  </si>
  <si>
    <t xml:space="preserve">• Coluna 'Piloto' (S/N) na aba 'Estações' define quais estações entram no cenário piloto (POC: 04 e 27).</t>
  </si>
  <si>
    <t xml:space="preserve">• Aba 'Preços': catálogo de peças com fonte e data. Itens marcados 'Estimativa' devem ser cotados antes da compra.</t>
  </si>
  <si>
    <t xml:space="preserve">• A operação completa inclui as estações do piloto (não somar os dois).</t>
  </si>
  <si>
    <t xml:space="preserve">ABAS</t>
  </si>
  <si>
    <t xml:space="preserve">Resumo: comparativo de todos os cenários (piloto x operação completa), contingência e investimento total recomendado.</t>
  </si>
  <si>
    <t xml:space="preserve">Premissas: câmbio, fator de importação, custos-hora, horas de montagem/instalação, metragens, reserva, frete, contingência.</t>
  </si>
  <si>
    <t xml:space="preserve">Estações: dimensionamento por estação (40 estações: 20 Medicamento + 20 Perfumaria).</t>
  </si>
  <si>
    <t xml:space="preserve">Preços: catálogo de peças; o preço de cada código vem da aba Fontes (loja, link e preço consultados em 27/10/2026).</t>
  </si>
  <si>
    <t xml:space="preserve">Fontes: cada componente com loja, produto, link clicável, preço publicado e observações de estoque.</t>
  </si>
  <si>
    <t xml:space="preserve">Composição: lista de materiais (BOM) de cada tipo de módulo e custo unitário.</t>
  </si>
  <si>
    <t xml:space="preserve">A-Interno: Arquitetura A com produção interna: peças, infraestrutura, mão de obra, treinamento, variante 5 V.</t>
  </si>
  <si>
    <t xml:space="preserve">A-Terceiros: Arquitetura A com produção de terceiros: (T1) placa própria montada por EMS e (T2) PTL comercial importado.</t>
  </si>
  <si>
    <t xml:space="preserve">RFID-futuro: melhoria futura, fora da POC e da implantação inicial: tag na caixa + pulseira NFC (acréscimo sobre a Arquitetura A).</t>
  </si>
  <si>
    <t xml:space="preserve">Software: esforço estimado de desenvolvimento (horas) para as duas arquiteturas.</t>
  </si>
  <si>
    <t xml:space="preserve">TERMOS</t>
  </si>
  <si>
    <t xml:space="preserve">Módulo Q: display de QUANTIDADE (3 dígitos) + botão com LED, um por endereço de alto giro (andares 0 a 3).</t>
  </si>
  <si>
    <t xml:space="preserve">Módulo E+Q: display de ENDEREÇO (8 dígitos) + QUANTIDADE (3 dígitos) + botão; usado nos andares 4 e 5 do alto giro (2 zonas por estação: P001–P005 e P006–P010, por baixo da esteira de separação) e em cada zona de baixo giro (2 zonas por lado do corredor, na altura dos olhos).</t>
  </si>
  <si>
    <t xml:space="preserve">Nó de coluna: microcontrolador por coluna (prédio) do alto giro que liga até 4 Módulos Q ao barramento RS-485 (nos dados, nenhum prédio tem mais de 4 endereços nos andares 0-3).</t>
  </si>
  <si>
    <t xml:space="preserve">Concentrador: controlador da estação (Ethernet cabeada), recebe a caixa do serviço PTL e comanda os 2 barramentos.</t>
  </si>
  <si>
    <t xml:space="preserve">Zona de baixo giro: 2 zonas por lado do corredor (cerca de 6 prédios cada), cada uma com 1 display E+Q na altura dos olhos (o prédio 015 entra na zona D1; esquinas têm zonas de 4 prédios).</t>
  </si>
  <si>
    <t xml:space="preserve">Sinal de baixo giro: luz âmbar ao lado da posição de pega que acende quando a caixa tem itens no corredor.</t>
  </si>
  <si>
    <t xml:space="preserve">O QUE MUDOU NA REVISÃO DE 26/10/2026</t>
  </si>
  <si>
    <t xml:space="preserve">• Canaleta calculada pelo layout real de cada estação (frente do alto giro + descidas por prédio + 2 lados do corredor + travessia), com as medidas do desenho de 26/10/2026: estação de 2,5 m, corredor de 1,2 m, prateleiras de 50 cm × 2 m (cerca de 27 m por estação).</t>
  </si>
  <si>
    <t xml:space="preserve">• Concentrador atrás da estação: travessia de 6 m por cima das esteiras até o corredor.</t>
  </si>
  <si>
    <t xml:space="preserve">• Barramento: 1 cabo por nó/módulo E+Q + cabo de saída das 2 portas do concentrador (antes: +2 segmentos genéricos).</t>
  </si>
  <si>
    <t xml:space="preserve">• Itens que faltavam: alimentação do concentrador (cabo PP, plugue, DPS), pontos de tomada novos, nobreak e mini rack dos switches, cabo de uplink, ferramentas de montagem e frete das compras.</t>
  </si>
  <si>
    <t xml:space="preserve">• Botão de confirmação trocado por botão metálico com anel de LED (cerca de 6.000 confirmações por estação por dia).</t>
  </si>
  <si>
    <t xml:space="preserve">• Instalação calculada por quantidade de módulos e metros de canaleta, com hora extra (instalação fora do horário de separação).</t>
  </si>
  <si>
    <t xml:space="preserve">• Treinamento de operadores e manutenção incluído em todos os cenários.</t>
  </si>
  <si>
    <t xml:space="preserve">• RFID (melhoria futura): 2 pulseiras por estação (a bateria de 500 mAh não cobre um turno inteiro com leitura contínua) + carregador.</t>
  </si>
  <si>
    <t xml:space="preserve">• Leitor fixo na estação (antiga opção B2) retirado do projeto; o foco é o coletor, e o RFID com pulseira fica como melhoria futura.</t>
  </si>
  <si>
    <t xml:space="preserve">• T1: horas de montagem final/gravação dos módulos vindos da EMS; T1/T2: cabo em cadeia dos módulos Q com 1 m por módulo.</t>
  </si>
  <si>
    <t xml:space="preserve">• Software: custo-hora calculado com o salário de mercado de analista de desenvolvimento (antes R$ 60/h fixo) e implantação do servidor/broker incluída.</t>
  </si>
  <si>
    <t xml:space="preserve">• Câmbio atualizado (fechamento de 23/10/2026) e contingência de 10% no Resumo.</t>
  </si>
  <si>
    <t xml:space="preserve">• Ajuste de 26/10/2026 (tarde): 2 displays E+Q nos andares 4-5 (antes 4) e 2 zonas por lado no baixo giro (antes 4), o que reduz os módulos E+Q de 485 para 251; sinal luminoso de baixo giro por estação.</t>
  </si>
  <si>
    <t xml:space="preserve">Resumo do orçamento, Pick-to-Light</t>
  </si>
  <si>
    <t xml:space="preserve">Piloto: estações marcadas 'S' na aba Estações (POC: 04 e 27). A operação completa já inclui o piloto. Hardware, instalação e treinamento; software nas linhas abaixo.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</si>
  <si>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</si>
  <si>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</si>
  <si>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</si>
  <si>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</si>
  <si>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estação, completo (R$)</t>
  </si>
  <si>
    <t xml:space="preserve">Completo + contingência (R$)</t>
  </si>
  <si>
    <t xml:space="preserve">A interno, só materiais (12 V)</t>
  </si>
  <si>
    <t xml:space="preserve">Peças, infraestrutura e frete; montagem própria</t>
  </si>
  <si>
    <t xml:space="preserve">A interno, só materiais (variante 5 V)</t>
  </si>
  <si>
    <t xml:space="preserve">Sem reguladores, fonte 5 V, mais cabo de força</t>
  </si>
  <si>
    <t xml:space="preserve">A interno, materiais + mão de obra</t>
  </si>
  <si>
    <t xml:space="preserve">Montagem, instalação, comissionamento e treinamento internos</t>
  </si>
  <si>
    <t xml:space="preserve">A terceiros, T1 (PCB própria via EMS)</t>
  </si>
  <si>
    <t xml:space="preserve">Placas próprias fabricadas/montadas por terceiros + instalação</t>
  </si>
  <si>
    <t xml:space="preserve">A terceiros, T2 (PTL comercial importado)</t>
  </si>
  <si>
    <t xml:space="preserve">Hardware PTL pronto + instalação</t>
  </si>
  <si>
    <t xml:space="preserve">Melhoria futura: RFID com pulseira</t>
  </si>
  <si>
    <t xml:space="preserve">Acréscimo sobre a A: tags nas caixas + pulseiras (não incluído no investimento)</t>
  </si>
  <si>
    <t xml:space="preserve">Desenvolvimento de software (interno)</t>
  </si>
  <si>
    <t xml:space="preserve">Arquitetura A (app próprio)</t>
  </si>
  <si>
    <t xml:space="preserve">Melhoria futura: RFID (acréscimo)</t>
  </si>
  <si>
    <t xml:space="preserve">Investimento total, Arquitetura A (proposta)</t>
  </si>
  <si>
    <t xml:space="preserve">A interno com contingência + software da Arquitetura A</t>
  </si>
  <si>
    <t xml:space="preserve">POC (bancada + estações 04 e 27)</t>
  </si>
  <si>
    <t xml:space="preserve">Hardware com contingência (aba POC); software da POC é interno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</si>
  <si>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</si>
  <si>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</si>
  <si>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</si>
  <si>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</si>
  <si>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</si>
  <si>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</si>
  <si>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</si>
  <si>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renovainvest.com.br/dolar-hoje, fechamento de 23/10/2026 (13h07, mercado fechado)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</si>
  <si>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</si>
  <si>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</si>
  <si>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</si>
  <si>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</si>
  <si>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</si>
  <si>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</si>
  <si>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Salário médio analista de desenvolvimento de sistemas (CLT)</t>
  </si>
  <si>
    <t xml:space="preserve">salario.com.br, CBO 212405, atualizado em 08/10/2026 (CAGED)</t>
  </si>
  <si>
    <t xml:space="preserve">Salário médio auxiliar de logística (operador da estação)</t>
  </si>
  <si>
    <t xml:space="preserve">salario.com.br, CBO 414140,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</si>
  <si>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</si>
  <si>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</si>
  <si>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</si>
  <si>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</si>
  <si>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</si>
  <si>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</si>
  <si>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</si>
  <si>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</si>
  <si>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Custo-hora desenvolvimento interno (calculado)</t>
  </si>
  <si>
    <t xml:space="preserve">Fórmula: salário × encargos ÷ horas (antes: R$ 60/h fixo)</t>
  </si>
  <si>
    <t xml:space="preserve">Custo-hora operador (calculado)</t>
  </si>
  <si>
    <t xml:space="preserve">Usado no tempo de treinamento dos operadores</t>
  </si>
  <si>
    <t xml:space="preserve">Montagem, Módulo Q</t>
  </si>
  <si>
    <t xml:space="preserve">h/un</t>
  </si>
  <si>
    <t xml:space="preserve">Estimativa: display + botão + carcaça + teste</t>
  </si>
  <si>
    <t xml:space="preserve">Montagem, Nó de coluna</t>
  </si>
  <si>
    <t xml:space="preserve">Estimativa: placa base, soldas, gravação de firmware, teste</t>
  </si>
  <si>
    <t xml:space="preserve">Montagem, Módulo E+Q</t>
  </si>
  <si>
    <t xml:space="preserve">Estimativa</t>
  </si>
  <si>
    <t xml:space="preserve">Montagem, Concentrador (gabinete completo)</t>
  </si>
  <si>
    <t xml:space="preserve">Instalação, parte fixa por estação</t>
  </si>
  <si>
    <t xml:space="preserve">h/estação</t>
  </si>
  <si>
    <t xml:space="preserve">Concentrador, energia, cabo de rede, passagem da frente para o corredor</t>
  </si>
  <si>
    <t xml:space="preserve">Instalação por Módulo Q (fixar, ligar, etiquetar)</t>
  </si>
  <si>
    <t xml:space="preserve">Instalação por Nó de coluna</t>
  </si>
  <si>
    <t xml:space="preserve">Instalação por Módulo E+Q</t>
  </si>
  <si>
    <t xml:space="preserve">Instalação de canaleta</t>
  </si>
  <si>
    <t xml:space="preserve">h/m</t>
  </si>
  <si>
    <t xml:space="preserve">Estimativa (cerca de 5 min por metro)</t>
  </si>
  <si>
    <t xml:space="preserve">Testes e comissionamento por estação</t>
  </si>
  <si>
    <t xml:space="preserve">Teste de cada endereço + caixa de teste ponta a ponta</t>
  </si>
  <si>
    <t xml:space="preserve">Fator de hora extra na instalação e comissionamento</t>
  </si>
  <si>
    <t xml:space="preserve">Instalação fora do horário de separação (hora extra 50%). Use 1,0 se for feita no horário normal.</t>
  </si>
  <si>
    <t xml:space="preserve">Turnos de separação por dia</t>
  </si>
  <si>
    <t xml:space="preserve">turnos</t>
  </si>
  <si>
    <t xml:space="preserve">CONFIRMAR com a operação (define pessoas a treinar)</t>
  </si>
  <si>
    <t xml:space="preserve">Treinamento por operador</t>
  </si>
  <si>
    <t xml:space="preserve">Estimativa: uso da estação, fechamento, falhas comuns</t>
  </si>
  <si>
    <t xml:space="preserve">Treinamento da equipe de manutenção (total)</t>
  </si>
  <si>
    <t xml:space="preserve">Estimativa: troca de módulo, diagnóstico, painel</t>
  </si>
  <si>
    <t xml:space="preserve">Reserva técnica (peças sobressalentes)</t>
  </si>
  <si>
    <t xml:space="preserve">%</t>
  </si>
  <si>
    <t xml:space="preserve">Sobre módulos, nós e concentradores</t>
  </si>
  <si>
    <t xml:space="preserve">Frete das compras nacionais</t>
  </si>
  <si>
    <t xml:space="preserve">Estimativa sobre as peças e a infraestrutura; itens importados já têm frete no fator de importação</t>
  </si>
  <si>
    <t xml:space="preserve">Contingência do projeto</t>
  </si>
  <si>
    <t xml:space="preserve">Reserva para imprevistos de instalação e variação de preço (aplicada no Resumo)</t>
  </si>
  <si>
    <t xml:space="preserve">Cabo de barramento por segmento (entre nós/módulos)</t>
  </si>
  <si>
    <t xml:space="preserve">m</t>
  </si>
  <si>
    <t xml:space="preserve">Estimativa de layout</t>
  </si>
  <si>
    <t xml:space="preserve">Cabo de cada saída do concentrador até o 1º equipamento</t>
  </si>
  <si>
    <t xml:space="preserve">Média das 2 saídas: alto giro ≈ 2 m (logo atrás) e baixo giro ≈ 10 m (por cima das esteiras)</t>
  </si>
  <si>
    <t xml:space="preserve">Largura de um prédio do alto giro</t>
  </si>
  <si>
    <t xml:space="preserve">Desenho de 26/10/2026: 2,5 m de alto giro por estação (10 prédios)</t>
  </si>
  <si>
    <t xml:space="preserve">Linhas horizontais de canaleta na frente do alto giro</t>
  </si>
  <si>
    <t xml:space="preserve">linhas</t>
  </si>
  <si>
    <t xml:space="preserve">1 acima do andar 3 (barramento dos nós) + 1 nos andares 4-5 (E+Q)</t>
  </si>
  <si>
    <t xml:space="preserve">Descida vertical de canaleta por prédio do alto giro</t>
  </si>
  <si>
    <t xml:space="preserve">Do nó até os módulos Q dos andares 0-3</t>
  </si>
  <si>
    <t xml:space="preserve">Comprimento de prateleira por lado do corredor</t>
  </si>
  <si>
    <t xml:space="preserve">Desenho de 26/10/2026: prateleiras de 50 cm × 2 m; 1 linha de canaleta na altura dos olhos em cada lado</t>
  </si>
  <si>
    <t xml:space="preserve">Travessia por estação (concentrador atrás → por cima das esteiras → corredor)</t>
  </si>
  <si>
    <t xml:space="preserve">Concentrador fica atrás da estação, do outro lado do alto giro</t>
  </si>
  <si>
    <t xml:space="preserve">Cabo de rede do switch até a estação</t>
  </si>
  <si>
    <t xml:space="preserve">Switch instalado no meio de cada segmento (máx. 90 m por lance)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</si>
  <si>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</si>
  <si>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</si>
  <si>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</si>
  <si>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Cabo de uplink por switch até a rede corporativa</t>
  </si>
  <si>
    <t xml:space="preserve">Se passar de 90 m, trocar por fibra/conversor de mídia</t>
  </si>
  <si>
    <t xml:space="preserve">Estações sem tomada 220 V a até 3 m</t>
  </si>
  <si>
    <t xml:space="preserve">CONFIRMAR com a manutenção predial</t>
  </si>
  <si>
    <t xml:space="preserve">Frota de caixas retornáveis (RFID, melhoria futura)</t>
  </si>
  <si>
    <t xml:space="preserve">caixas</t>
  </si>
  <si>
    <t xml:space="preserve">Estimativa: ~1,7 × 3.000 volumes/dia. CONFIRMAR com a operação.</t>
  </si>
  <si>
    <t xml:space="preserve">Pulseiras por estação (RFID, melhoria futura)</t>
  </si>
  <si>
    <t xml:space="preserve">un</t>
  </si>
  <si>
    <t xml:space="preserve">2 por estação (uma carregando; 500 mAh dura cerca de 5 h lendo) + 10% reserva</t>
  </si>
  <si>
    <t xml:space="preserve">Cabo de força extra por estação na variante 5 V</t>
  </si>
  <si>
    <t xml:space="preserve">Distribuição de 5 V exige mais pontos de injeção</t>
  </si>
  <si>
    <t xml:space="preserve">Cabo por Módulo Q em cadeia (T1/T2)</t>
  </si>
  <si>
    <t xml:space="preserve">Módulos vizinhos ligados em sequência</t>
  </si>
  <si>
    <t xml:space="preserve">Montagem final + gravação + teste por módulo vindo da EMS (T1)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</si>
  <si>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</si>
  <si>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</si>
  <si>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</si>
  <si>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</si>
  <si>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</si>
  <si>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</si>
  <si>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</si>
  <si>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E+Q alto giro
4-5 (2 zonas)</t>
  </si>
  <si>
    <t xml:space="preserve">Baixo giro
(endereços)</t>
  </si>
  <si>
    <t xml:space="preserve">Zonas baixo giro
(E+Q)</t>
  </si>
  <si>
    <t xml:space="preserve">Nós de coluna</t>
  </si>
  <si>
    <t xml:space="preserve">Prédios do
baixo giro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</si>
  <si>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</si>
  <si>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</si>
  <si>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</si>
  <si>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</si>
  <si>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</si>
  <si>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</si>
  <si>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</si>
  <si>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</si>
  <si>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</si>
  <si>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S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</si>
  <si>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</si>
  <si>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</si>
  <si>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</si>
  <si>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</si>
  <si>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</si>
  <si>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</si>
  <si>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</si>
  <si>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</si>
  <si>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</si>
  <si>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</si>
  <si>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</si>
  <si>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</si>
  <si>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</si>
  <si>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</si>
  <si>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</si>
  <si>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</si>
  <si>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</si>
  <si>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</si>
  <si>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</si>
  <si>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</si>
  <si>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</si>
  <si>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</si>
  <si>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</si>
  <si>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</si>
  <si>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</si>
  <si>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</si>
  <si>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</si>
  <si>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</si>
  <si>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</si>
  <si>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</si>
  <si>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</si>
  <si>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</si>
  <si>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</si>
  <si>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</si>
  <si>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</si>
  <si>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</si>
  <si>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</si>
  <si>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</si>
  <si>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</si>
  <si>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</si>
  <si>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da operação completa</t>
  </si>
  <si>
    <t xml:space="preserve">Total do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</si>
  <si>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</si>
  <si>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2 displays E+Q por estação (zonas 001-005 e 006-010). Baixo giro = demais prédios (corredor, 015 e esquinas): 2 zonas E+Q por lado do corredor; esquinas com zonas de 4 prédios.</t>
  </si>
  <si>
    <t xml:space="preserve">Segmentos de barramento = 1 cabo de entrada por nó e por módulo E+Q (ligação em cadeia nas 2 portas do concentrador).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</si>
  <si>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</si>
  <si>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</si>
  <si>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</si>
  <si>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</si>
  <si>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</si>
  <si>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</si>
  <si>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</si>
  <si>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dígitos, quantidade)</t>
  </si>
  <si>
    <t xml:space="preserve">Usinainfo, Módulo Display TM1637 LED 7 Segmentos 4 Dígitos Vermelho, 27/10/2026: https://www.usinainfo.com.br/display-arduino/modulo-display-tm1637-7-segmentos-4-digitos-vermelho-2943.html</t>
  </si>
  <si>
    <t xml:space="preserve">Cotado com link</t>
  </si>
  <si>
    <t xml:space="preserve">P02</t>
  </si>
  <si>
    <t xml:space="preserve">Display 7 segmentos 8 dígitos MAX7219 (endereço)</t>
  </si>
  <si>
    <t xml:space="preserve">Usinainfo, Módulo Display LED 8 Dígitos com Interface Controle SPI - MAX7219, 27/10/2026: https://www.usinainfo.com.br/display-arduino/modulo-display-led-8-digitos-com-interface-controle-spi-max7219-4416.html</t>
  </si>
  <si>
    <t xml:space="preserve">P03</t>
  </si>
  <si>
    <t xml:space="preserve">Microcontrolador Raspberry Pi Pico (RP2040)</t>
  </si>
  <si>
    <t xml:space="preserve">MakerHero, Raspberry Pi Pico (DRA61), 27/10/2026: https://www.makerhero.com/produto/raspberry-pi-pico/</t>
  </si>
  <si>
    <t xml:space="preserve">P04</t>
  </si>
  <si>
    <t xml:space="preserve">Módulo transceptor RS-485 (MAX485)</t>
  </si>
  <si>
    <t xml:space="preserve">Saravati, Módulo Conversor de Dados TTL para RS485 MAX485, 27/10/2026: https://www.saravati.com.br/modulo-conversor-de-dados-ttl-para-rs485-max485.html</t>
  </si>
  <si>
    <t xml:space="preserve">P05</t>
  </si>
  <si>
    <t xml:space="preserve">Placa do concentrador RP2040 + Ethernet W5500 (W5500-EVB-Pico)</t>
  </si>
  <si>
    <t xml:space="preserve">SparkFun (EUA), W5500-EVB-Pico (DEV-19958), 27/10/2026: https://www.sparkfun.com/w5500-evb-pico.html</t>
  </si>
  <si>
    <t xml:space="preserve">P06</t>
  </si>
  <si>
    <t xml:space="preserve">Fonte Mean Well LRS-150-12 (12 V / 12,5 A / 150 W)</t>
  </si>
  <si>
    <t xml:space="preserve">MCEIG, LRS-150-12 - Fonte Chaveada 150W 85-264VCA/120-373VCC Saída 12VCC/12.5A - MEAN WELL, 27/10/2026: https://www.mceig.com.br/produto/lrs-150-12-fonte-chaveada-150w-85-264vca-120-373vcc-saida-12vcc-12-5a-mean-well/</t>
  </si>
  <si>
    <t xml:space="preserve">P07</t>
  </si>
  <si>
    <t xml:space="preserve">Fonte Mean Well 5 V 150 W (variante 5 V)</t>
  </si>
  <si>
    <t xml:space="preserve">MCEIG, RSP-150-5 - Fonte Chaveada Fechada 150W 85-264VCA/120-370VCC Saída 5V-30A - MEAN WELL, 27/10/2026: https://www.mceig.com.br/produto/rsp-150-5-fonte-chaveada-fechada-150w-85-264vca-120-370vcc-saida-5v-30a-mean-well/</t>
  </si>
  <si>
    <t xml:space="preserve">P08</t>
  </si>
  <si>
    <t xml:space="preserve">Regulador step-down 12 V → 5 V (MP1584, 3 A)</t>
  </si>
  <si>
    <t xml:space="preserve">Saravati, Módulo Mini Conversor De Tensão DC/DC - MP1584EN Step Down, 27/10/2026: https://www.saravati.com.br/modulo-mini-conversor-de-tensao-dc-dc-mp1584en-step-down.html</t>
  </si>
  <si>
    <t xml:space="preserve">P09</t>
  </si>
  <si>
    <t xml:space="preserve">Botão de confirmação metálico 16 mm com LED 12-24 V (pulsador)</t>
  </si>
  <si>
    <t xml:space="preserve">Usinainfo, Pulsador 16mm LED Vermelho 12-24V Inox Impermeável - MC320, 27/10/2026: https://www.usinainfo.com.br/interruptores-e-pulsadores/interruptor-pulsador-16mm-com-led-vermelho-12-24v-em-aco-inox-impermeavel-3134.html</t>
  </si>
  <si>
    <t xml:space="preserve">P10</t>
  </si>
  <si>
    <t xml:space="preserve">Conector RJ45 fêmea para placa (90°)</t>
  </si>
  <si>
    <t xml:space="preserve">Mult Comercial, Conector RJ45 Fêmea 8 vias Blindado 90º PCI - JL46057, 27/10/2026: https://www.multcomercial.com.br/conector-jack-rj45-femea-com-8-vias-blindado-90-pci-jl46057.html</t>
  </si>
  <si>
    <t xml:space="preserve">P11</t>
  </si>
  <si>
    <t xml:space="preserve">Plug RJ45 Cat5e (macho)</t>
  </si>
  <si>
    <t xml:space="preserve">KaBuM, Plug Conector Rj45 Macho Cat 5e 8 Vias - Crimpar (100 Unidades), 27/10/2026: https://www.kabum.com.br/produto/328777/plug-conector-rj45-macho-cat-5e-8-vias-crimpar-100-unidades-</t>
  </si>
  <si>
    <t xml:space="preserve">P12</t>
  </si>
  <si>
    <t xml:space="preserve">Cabo Cat5e (por metro)</t>
  </si>
  <si>
    <t xml:space="preserve">KaBuM, Cabo de Rede CAT.5e Furukawa SOHOPLUS, 305 Metros, Branco - 23200101, 27/10/2026: https://www.kabum.com.br/produto/114681/cabo-de-rede-cat-5e-furukawa-305-metros-branco-23200101</t>
  </si>
  <si>
    <t xml:space="preserve">P13</t>
  </si>
  <si>
    <t xml:space="preserve">Carcaça do Módulo Q (caixa Patola PB-075, 36 × 60 × 75 mm)</t>
  </si>
  <si>
    <t xml:space="preserve">Usinainfo, Caixa Patola PB-075 para Montagem 36 x 60 x 75 mm, 27/10/2026: https://www.usinainfo.com.br/caixas-patola/caixa-patola-pb-075-para-montagem-36-x-60-x-75-mm-4390.html</t>
  </si>
  <si>
    <t xml:space="preserve">P14</t>
  </si>
  <si>
    <t xml:space="preserve">Carcaça do Módulo E+Q / Nó de coluna (caixa Patola PB-112, 53 × 85 × 124 mm)</t>
  </si>
  <si>
    <t xml:space="preserve">Usinainfo, Caixa Patola / Case para Montagem 53 x 85 x 124 mm - PB-112, 27/10/2026: https://www.usinainfo.com.br/caixas-patola/caixa-patola-case-para-montagem-53-x-85-x-124-mm-pb-112-3879.html</t>
  </si>
  <si>
    <t xml:space="preserve">P15</t>
  </si>
  <si>
    <t xml:space="preserve">Placa base perfurada 7 × 5 cm + 2 bornes KRE (nó / módulo E+Q)</t>
  </si>
  <si>
    <t xml:space="preserve">Kit com 2 componentes, ver aba Fontes: Placa fenolite perfurada 7 × 5 cm; Borne KRE 2 vias</t>
  </si>
  <si>
    <t xml:space="preserve">P16</t>
  </si>
  <si>
    <t xml:space="preserve">Gabinete do concentrador (caixa Patola PB-220/70 + cooler 40 mm 12 V + grade)</t>
  </si>
  <si>
    <t xml:space="preserve">Kit com 3 componentes, ver aba Fontes: Caixa Patola PB-220/70; Cooler 40 × 40 mm 12 V; Grade do cooler 40 mm</t>
  </si>
  <si>
    <t xml:space="preserve">P17</t>
  </si>
  <si>
    <t xml:space="preserve">Trilho DIN + disjuntor 2 A + bornes</t>
  </si>
  <si>
    <t xml:space="preserve">kit</t>
  </si>
  <si>
    <t xml:space="preserve">Kit com 3 componentes, ver aba Fontes: Trilho DIN curto; Minidisjuntor 2 A; Borne KRE 2 vias</t>
  </si>
  <si>
    <t xml:space="preserve">P18</t>
  </si>
  <si>
    <t xml:space="preserve">Canaleta PVC 20 × 10 mm com adesivo (por metro)</t>
  </si>
  <si>
    <t xml:space="preserve">Telhanorte, Canaleta Pvc 20X10Mm 2M Com Adesivo Preto Forceline, 27/10/2026: https://www.telhanorte.com.br/canaleta-pvc-20x10mm-2m-com-adesivo-preto-forceline-2633671/p</t>
  </si>
  <si>
    <t xml:space="preserve">P19</t>
  </si>
  <si>
    <t xml:space="preserve">Fixações por estação (abraçadeiras e etiquetas de endereço)</t>
  </si>
  <si>
    <t xml:space="preserve">Kit com 2 componentes, ver aba Fontes: Abraçadeiras 200 mm (100 un); Etiquetas de endereço</t>
  </si>
  <si>
    <t xml:space="preserve">P20</t>
  </si>
  <si>
    <t xml:space="preserve">Switch 24 portas Gigabit TP-Link TL-SG1024DE</t>
  </si>
  <si>
    <t xml:space="preserve">KaBuM, Switch Tp-link Tl-sg1024de 24 Portas 10/100/1000 Gigabit Gerenciavel Rack, 27/10/2026: https://www.kabum.com.br/produto/429922/switch-tp-link-tl-sg1024de-24-portas-10-100-1000-gigabit-gerenciavel-rack</t>
  </si>
  <si>
    <t xml:space="preserve">P21</t>
  </si>
  <si>
    <t xml:space="preserve">(não usado) LED guia de coluna, retirado em 26/10/2026</t>
  </si>
  <si>
    <t xml:space="preserve">LED</t>
  </si>
  <si>
    <t xml:space="preserve">Não faz parte do projeto</t>
  </si>
  <si>
    <t xml:space="preserve">Retirado</t>
  </si>
  <si>
    <t xml:space="preserve">P22</t>
  </si>
  <si>
    <t xml:space="preserve">Tag NFC NTAG213 adesiva 13,56 MHz</t>
  </si>
  <si>
    <t xml:space="preserve">Loja RFID, Etiqueta RFID 13,56 MHz NFC NTAG213 Branca - 100 unidades, 27/10/2026: https://loja.lojarfid.com.br/13-56-mhz-mf/etiquetas/etiqueta-rfid-13-56-mhz-nfc-ntag213-branca-100-unidades</t>
  </si>
  <si>
    <t xml:space="preserve">P23</t>
  </si>
  <si>
    <t xml:space="preserve">Proteção da tag na caixa (fita transparente sobre a tag)</t>
  </si>
  <si>
    <t xml:space="preserve">Kalunga, Fita Adesiva Transparente PP, 45mm x 45m, Stick Tape - PT 4 UN, 27/10/2026: https://www.kalunga.com.br/prod/fita-adesiva-transparente-pp-45mm-x-45m-stick-tape-pt-4-un/305591</t>
  </si>
  <si>
    <t xml:space="preserve">P24</t>
  </si>
  <si>
    <t xml:space="preserve">ESP32-C3 Super Mini (pulseira)</t>
  </si>
  <si>
    <t xml:space="preserve">Usinainfo, ESP32-C3 Super Mini WiFi Bluetooth USB-C com 13 GPIOs, 27/10/2026: https://www.usinainfo.com.br/esp32/esp32-c3-super-mini-com-wifi-e-bluetooth-com-usb-c-8967.html</t>
  </si>
  <si>
    <t xml:space="preserve">P25</t>
  </si>
  <si>
    <t xml:space="preserve">Módulo leitor NFC PN532</t>
  </si>
  <si>
    <t xml:space="preserve">MakerHero, Kit Módulo Leitor RFID NFC PN532, 27/10/2026: https://www.makerhero.com/produto/kit-modulo-leitor-rfid-nfc-pn532/</t>
  </si>
  <si>
    <t xml:space="preserve">P26</t>
  </si>
  <si>
    <t xml:space="preserve">Kit energia pulseira (LiPo + carregador TP4056 + motor de vibração + botão)</t>
  </si>
  <si>
    <t xml:space="preserve">Kit com 4 componentes, ver aba Fontes: Bateria LiPo 3,7 V ~500 mAh; Carregador TP4056 USB-C; Motor de vibração 1027; Chave táctil 6 × 6 mm</t>
  </si>
  <si>
    <t xml:space="preserve">Cotado com link, 1 item estimado</t>
  </si>
  <si>
    <t xml:space="preserve">P27</t>
  </si>
  <si>
    <t xml:space="preserve">Carcaça da pulseira (caixa Patola PB-060) + fita de velcro</t>
  </si>
  <si>
    <t xml:space="preserve">Kit com 2 componentes, ver aba Fontes: Caixa Patola PB-060; Fita de velcro 10 mm (rolo 10 m)</t>
  </si>
  <si>
    <t xml:space="preserve">P29</t>
  </si>
  <si>
    <t xml:space="preserve">Módulo PTL comercial 3 dígitos + botão (RS-485)</t>
  </si>
  <si>
    <t xml:space="preserve">Alibaba, Sophia T-P3: US$ 32 (1-299 un) / US$ 28 (300+), 23/10/2026; média US$ 30</t>
  </si>
  <si>
    <t xml:space="preserve">Cotado (US$)</t>
  </si>
  <si>
    <t xml:space="preserve">P30</t>
  </si>
  <si>
    <t xml:space="preserve">Módulo PTL comercial endereço + quantidade (display alfanumérico)</t>
  </si>
  <si>
    <t xml:space="preserve">Estimativa (não há preço público), solicitar cotação a fornecedores</t>
  </si>
  <si>
    <t xml:space="preserve">P31</t>
  </si>
  <si>
    <t xml:space="preserve">Controlador/gateway PTL comercial por estação</t>
  </si>
  <si>
    <t xml:space="preserve">Estimativa (não há preço público), solicitar cotação</t>
  </si>
  <si>
    <t xml:space="preserve">P32</t>
  </si>
  <si>
    <t xml:space="preserve">PCB própria montada por EMS,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</si>
  <si>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</si>
  <si>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</si>
  <si>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EMS, Módulo E+Q</t>
  </si>
  <si>
    <t xml:space="preserve">Estimativa (idem)</t>
  </si>
  <si>
    <t xml:space="preserve">P34</t>
  </si>
  <si>
    <t xml:space="preserve">PCB própria montada por EMS,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</si>
  <si>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</si>
  <si>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</si>
  <si>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</si>
  <si>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Estimativa, solicitar orçamento a design house</t>
  </si>
  <si>
    <t xml:space="preserve">P36</t>
  </si>
  <si>
    <t xml:space="preserve">Leitor RFID UHF de pulso comercial (FEIG HyWEAR Compact), referência</t>
  </si>
  <si>
    <t xml:space="preserve">atlasRFIDstore, US$ 997, 22/10/2026 (UHF; não lê tags NFC)</t>
  </si>
  <si>
    <t xml:space="preserve">P38</t>
  </si>
  <si>
    <t xml:space="preserve">Cabo PP 3 × 1,0 mm² (por metro)</t>
  </si>
  <si>
    <t xml:space="preserve">KaBuM, Cabo Pp 3x1,00 Mm Elétrico Flexível Preto - 50 Metros, 27/10/2026: https://www.kabum.com.br/produto/722927/cabo-pp-3x1-00-mm-eletrico-flexivel-preto-50-metros</t>
  </si>
  <si>
    <t xml:space="preserve">P39</t>
  </si>
  <si>
    <t xml:space="preserve">Plugue 2P+T 10 A com prensa-cabo</t>
  </si>
  <si>
    <t xml:space="preserve">Leroy Merlin, Pino Plug Macho Ilumi Prensa Cabo 2p+t 10a Embalagem Com 10 Unidades, 27/10/2026: https://www.leroymerlin.com.br/pino-plug-macho-ilumi-prensa-cabo-2p-t-10a-embalagem-com-10-unidades_1568301310</t>
  </si>
  <si>
    <t xml:space="preserve">P40</t>
  </si>
  <si>
    <t xml:space="preserve">DPS / protetor de surto 275 V 20 kA</t>
  </si>
  <si>
    <t xml:space="preserve">Leroy Merlin, Protetor De Surto Dps Classe Ii/iii 20ka 275vca Fase (Embrastec), 27/10/2026: https://www.leroymerlin.com.br/protetor-de-surto-dps-classe-ii-iii-20ka-275vca-fase_1570251308</t>
  </si>
  <si>
    <t xml:space="preserve">P41</t>
  </si>
  <si>
    <t xml:space="preserve">Kit rede: alicate de crimpar + testador + 40 m Cat5e Nexans + 10 RJ45</t>
  </si>
  <si>
    <t xml:space="preserve">KaBuM, Kit Cabo De Rede Nexans 40 Metros, Alicate, Testador, 10xrj45, Cat5e, 27/10/2026: https://www.kabum.com.br/produto/386101/kit-cabo-de-rede-nexans-40-metros-alicate-testador-10xrj45-cat5e</t>
  </si>
  <si>
    <t xml:space="preserve">P42</t>
  </si>
  <si>
    <t xml:space="preserve">Bancada de eletrônica: estação de solda + multímetro + estanho</t>
  </si>
  <si>
    <t xml:space="preserve">Kit com 3 componentes, ver aba Fontes: Estação de solda 60 W; Multímetro digital; Estanho 1,0 mm 500 g</t>
  </si>
  <si>
    <t xml:space="preserve">P43</t>
  </si>
  <si>
    <t xml:space="preserve">Nobreak 720 VA bivolt (Intelbras XNB) para o switch</t>
  </si>
  <si>
    <t xml:space="preserve">KaBuM, Nobreak Intelbras XNB, 720VA, Bivolt - 4822010, 27/10/2026: https://www.kabum.com.br/produto/229971/nobreak-intelbras-xnb-720va-bivolt-4822010</t>
  </si>
  <si>
    <t xml:space="preserve">P44</t>
  </si>
  <si>
    <t xml:space="preserve">Mini rack de parede 5U 19" + organizador de cabos + 2 patch cords</t>
  </si>
  <si>
    <t xml:space="preserve">Kit com 3 componentes, ver aba Fontes: Mini rack 5U MRM 537; Organizador de cabos 1U; Patch cord Cat5e 1,5 m</t>
  </si>
  <si>
    <t xml:space="preserve">P45</t>
  </si>
  <si>
    <t xml:space="preserve">Carregador USB 2 portas para pulseiras (RFID futuro)</t>
  </si>
  <si>
    <t xml:space="preserve">KaBuM, Carregador De Tomada Universal USB Kaidi, 2 portas, Branco - Kd-301, 27/10/2026: https://www.kabum.com.br/produto/394690/carregador-de-tomada-universal-usb-kaidi-carregador-domestico-2-portas-branco-kd-301</t>
  </si>
  <si>
    <t xml:space="preserve">P46</t>
  </si>
  <si>
    <t xml:space="preserve">Ponto de tomada 220 V novo (material + eletricista)</t>
  </si>
  <si>
    <t xml:space="preserve">A cotar, Material + eletricista, com a manutenção predial, 27/10/2026: sem link</t>
  </si>
  <si>
    <t xml:space="preserve">Estimativa (cotar)</t>
  </si>
  <si>
    <t xml:space="preserve">P48</t>
  </si>
  <si>
    <t xml:space="preserve">Painel de MDF 120 × 60 cm com longarina para a bancada</t>
  </si>
  <si>
    <t xml:space="preserve">Kit com 2 componentes, ver aba Fontes: Plano de MDF cru 120 × 60 cm; Longarina (cantoneira de alumínio 1 m)</t>
  </si>
  <si>
    <t xml:space="preserve">P49</t>
  </si>
  <si>
    <t xml:space="preserve">Switch 5 portas Gigabit (bancada)</t>
  </si>
  <si>
    <t xml:space="preserve">KaBuM, Switch 5 Portas Gigabit - Tp-link Tl-sg1005d, 27/10/2026: https://www.kabum.com.br/produto/205611/switch-5-portas-10-100-1000-gigabit-mesa-tl-sg1005d-tp-link</t>
  </si>
  <si>
    <t xml:space="preserve">P47</t>
  </si>
  <si>
    <t xml:space="preserve">Sinal luminoso de baixo giro (sinaleiro LED 22 mm amarelo 12 V + haste + transistor)</t>
  </si>
  <si>
    <t xml:space="preserve">Kit com 3 componentes, ver aba Fontes: Sinaleiro LED 22 mm amarelo 12 V; Haste (cantoneira de alumínio 1 m); Transistor BC337 (kit 5)</t>
  </si>
  <si>
    <t xml:space="preserve">Componente</t>
  </si>
  <si>
    <t xml:space="preserve">Loja</t>
  </si>
  <si>
    <t xml:space="preserve">Produto (como aparece na loja)</t>
  </si>
  <si>
    <t xml:space="preserve">Link</t>
  </si>
  <si>
    <t xml:space="preserve">Preço publicado</t>
  </si>
  <si>
    <t xml:space="preserve">Forma do preço</t>
  </si>
  <si>
    <t xml:space="preserve">Unidades na embalagem</t>
  </si>
  <si>
    <t xml:space="preserve">Qtd por unidade do código</t>
  </si>
  <si>
    <t xml:space="preserve">Preço no código (R$)</t>
  </si>
  <si>
    <t xml:space="preserve">Data</t>
  </si>
  <si>
    <t xml:space="preserve">Observação</t>
  </si>
  <si>
    <t xml:space="preserve">Display TM1637 4 dígitos</t>
  </si>
  <si>
    <t xml:space="preserve">Usinainfo</t>
  </si>
  <si>
    <t xml:space="preserve">Módulo Display TM1637 LED 7 Segmentos 4 Dígitos Vermelho</t>
  </si>
  <si>
    <t xml:space="preserve">https://www.usinainfo.com.br/display-arduino/modulo-display-tm1637-7-segmentos-4-digitos-vermelho-2943.html</t>
  </si>
  <si>
    <t xml:space="preserve">Pix</t>
  </si>
  <si>
    <t xml:space="preserve">27/10/2026</t>
  </si>
  <si>
    <t xml:space="preserve">cartão R$ 11,55; últimas unidades</t>
  </si>
  <si>
    <t xml:space="preserve">Display MAX7219 8 dígitos</t>
  </si>
  <si>
    <t xml:space="preserve">Módulo Display LED 8 Dígitos com Interface Controle SPI - MAX7219</t>
  </si>
  <si>
    <t xml:space="preserve">https://www.usinainfo.com.br/display-arduino/modulo-display-led-8-digitos-com-interface-controle-spi-max7219-4416.html</t>
  </si>
  <si>
    <t xml:space="preserve">cartão R$ 21,23; últimas unidades</t>
  </si>
  <si>
    <t xml:space="preserve">Raspberry Pi Pico</t>
  </si>
  <si>
    <t xml:space="preserve">MakerHero</t>
  </si>
  <si>
    <t xml:space="preserve">Raspberry Pi Pico (DRA61)</t>
  </si>
  <si>
    <t xml:space="preserve">https://www.makerhero.com/produto/raspberry-pi-pico/</t>
  </si>
  <si>
    <t xml:space="preserve">normal R$ 39,90; em estoque</t>
  </si>
  <si>
    <t xml:space="preserve">Módulo MAX485</t>
  </si>
  <si>
    <t xml:space="preserve">Saravati</t>
  </si>
  <si>
    <t xml:space="preserve">Módulo Conversor de Dados TTL para RS485 MAX485</t>
  </si>
  <si>
    <t xml:space="preserve">https://www.saravati.com.br/modulo-conversor-de-dados-ttl-para-rs485-max485.html</t>
  </si>
  <si>
    <t xml:space="preserve">preço especial</t>
  </si>
  <si>
    <t xml:space="preserve">normal R$ 14,90; 246 em estoque</t>
  </si>
  <si>
    <t xml:space="preserve">W5500-EVB-Pico</t>
  </si>
  <si>
    <t xml:space="preserve">SparkFun (EUA)</t>
  </si>
  <si>
    <t xml:space="preserve">W5500-EVB-Pico (DEV-19958)</t>
  </si>
  <si>
    <t xml:space="preserve">https://www.sparkfun.com/w5500-evb-pico.html</t>
  </si>
  <si>
    <t xml:space="preserve">US$</t>
  </si>
  <si>
    <t xml:space="preserve">em estoque; convertido em reais com câmbio × fator de importação (aba Premissas do orçamento completo)</t>
  </si>
  <si>
    <t xml:space="preserve">Fonte LRS-150-12</t>
  </si>
  <si>
    <t xml:space="preserve">MCEIG</t>
  </si>
  <si>
    <t xml:space="preserve">LRS-150-12 - Fonte Chaveada 150W 85-264VCA/120-373VCC Saída 12VCC/12.5A - MEAN WELL</t>
  </si>
  <si>
    <t xml:space="preserve">https://www.mceig.com.br/produto/lrs-150-12-fonte-chaveada-150w-85-264vca-120-373vcc-saida-12vcc-12-5a-mean-well/</t>
  </si>
  <si>
    <t xml:space="preserve">preço da página</t>
  </si>
  <si>
    <t xml:space="preserve">em estoque (pode ser encomendado)</t>
  </si>
  <si>
    <t xml:space="preserve">Fonte 5 V 150 W</t>
  </si>
  <si>
    <t xml:space="preserve">RSP-150-5 - Fonte Chaveada Fechada 150W 85-264VCA/120-370VCC Saída 5V-30A - MEAN WELL</t>
  </si>
  <si>
    <t xml:space="preserve">https://www.mceig.com.br/produto/rsp-150-5-fonte-chaveada-fechada-150w-85-264vca-120-370vcc-saida-5v-30a-mean-well/</t>
  </si>
  <si>
    <t xml:space="preserve">sob encomenda; a LRS-150-5 não foi encontrada à venda no Brasil; só a variante 5 V usa</t>
  </si>
  <si>
    <t xml:space="preserve">Step-down MP1584</t>
  </si>
  <si>
    <t xml:space="preserve">Módulo Mini Conversor De Tensão DC/DC - MP1584EN Step Down</t>
  </si>
  <si>
    <t xml:space="preserve">https://www.saravati.com.br/modulo-mini-conversor-de-tensao-dc-dc-mp1584en-step-down.html</t>
  </si>
  <si>
    <t xml:space="preserve">normal R$ 11,90; 106 em estoque; 3 A</t>
  </si>
  <si>
    <t xml:space="preserve">Pulsador inox 16 mm com LED</t>
  </si>
  <si>
    <t xml:space="preserve">Pulsador 16mm LED Vermelho 12-24V Inox Impermeável - MC320</t>
  </si>
  <si>
    <t xml:space="preserve">https://www.usinainfo.com.br/interruptores-e-pulsadores/interruptor-pulsador-16mm-com-led-vermelho-12-24v-em-aco-inox-impermeavel-3134.html</t>
  </si>
  <si>
    <t xml:space="preserve">cartão R$ 21,84; últimas unidades</t>
  </si>
  <si>
    <t xml:space="preserve">RJ45 fêmea PCI 90°</t>
  </si>
  <si>
    <t xml:space="preserve">Mult Comercial</t>
  </si>
  <si>
    <t xml:space="preserve">Conector RJ45 Fêmea 8 vias Blindado 90º PCI - JL46057</t>
  </si>
  <si>
    <t xml:space="preserve">https://www.multcomercial.com.br/conector-jack-rj45-femea-com-8-vias-blindado-90-pci-jl46057.html</t>
  </si>
  <si>
    <t xml:space="preserve">cartão R$ 5,00; 285 em estoque. Alternativa sem blindagem Connfly DS1125-S80BP R$ 2,03 (Pix), só 5 em estoque: https://www.multcomercial.com.br/conector-jack-rj45-ds1125-s80bp-8p8c-90-com-08-vias-connfly.html</t>
  </si>
  <si>
    <t xml:space="preserve">Plug RJ45 Cat5e (100 un)</t>
  </si>
  <si>
    <t xml:space="preserve">KaBuM</t>
  </si>
  <si>
    <t xml:space="preserve">Plug Conector Rj45 Macho Cat 5e 8 Vias - Crimpar (100 Unidades)</t>
  </si>
  <si>
    <t xml:space="preserve">https://www.kabum.com.br/produto/328777/plug-conector-rj45-macho-cat-5e-8-vias-crimpar-100-unidades-</t>
  </si>
  <si>
    <t xml:space="preserve">pacote com 100</t>
  </si>
  <si>
    <t xml:space="preserve">Cabo Cat5e 305 m</t>
  </si>
  <si>
    <t xml:space="preserve">Cabo de Rede CAT.5e Furukawa SOHOPLUS, 305 Metros, Branco - 23200101</t>
  </si>
  <si>
    <t xml:space="preserve">https://www.kabum.com.br/produto/114681/cabo-de-rede-cat-5e-furukawa-305-metros-branco-23200101</t>
  </si>
  <si>
    <t xml:space="preserve">normal R$ 1.111,00; restam 10 caixas</t>
  </si>
  <si>
    <t xml:space="preserve">Caixa Patola PB-075</t>
  </si>
  <si>
    <t xml:space="preserve">Caixa Patola PB-075 para Montagem 36 x 60 x 75 mm</t>
  </si>
  <si>
    <t xml:space="preserve">https://www.usinainfo.com.br/caixas-patola/caixa-patola-pb-075-para-montagem-36-x-60-x-75-mm-4390.html</t>
  </si>
  <si>
    <t xml:space="preserve">cartão R$ 12,99; últimas unidades (Patola também vende direto). Impressão 3D em PETG pode sair mais barata</t>
  </si>
  <si>
    <t xml:space="preserve">Caixa Patola PB-112</t>
  </si>
  <si>
    <t xml:space="preserve">Caixa Patola / Case para Montagem 53 x 85 x 124 mm - PB-112</t>
  </si>
  <si>
    <t xml:space="preserve">https://www.usinainfo.com.br/caixas-patola/caixa-patola-case-para-montagem-53-x-85-x-124-mm-pb-112-3879.html</t>
  </si>
  <si>
    <t xml:space="preserve">cartão R$ 29,65; últimas unidades</t>
  </si>
  <si>
    <t xml:space="preserve">Placa fenolite perfurada 7 × 5 cm</t>
  </si>
  <si>
    <t xml:space="preserve">Eletrogate</t>
  </si>
  <si>
    <t xml:space="preserve">Placa Fenolite Perfurada 7x5cm</t>
  </si>
  <si>
    <t xml:space="preserve">https://www.eletrogate.com/placa-fenolite-perfurada-7x5cm</t>
  </si>
  <si>
    <t xml:space="preserve">normal R$ 2,50; disponível</t>
  </si>
  <si>
    <t xml:space="preserve">Borne KRE 2 vias</t>
  </si>
  <si>
    <t xml:space="preserve">Baú da Eletrônica</t>
  </si>
  <si>
    <t xml:space="preserve">Borne KRE KF128 2 Vias - Verde</t>
  </si>
  <si>
    <t xml:space="preserve">https://www.baudaeletronica.com.br/produto/borne-kre-kf128-2-vias-verde.html</t>
  </si>
  <si>
    <t xml:space="preserve">normal R$ 1,30; 2 por placa (entrada e saída de 12 V)</t>
  </si>
  <si>
    <t xml:space="preserve">Caixa Patola PB-220/70</t>
  </si>
  <si>
    <t xml:space="preserve">Caixa Patola PB-220/70 para Montagem 71 x 228 x 190 mm</t>
  </si>
  <si>
    <t xml:space="preserve">https://www.usinainfo.com.br/caixas-patola/caixa-patola-pb-22070-para-montagem-71-x-228-x-190-mm-4383.html</t>
  </si>
  <si>
    <t xml:space="preserve">cartão R$ 174,86; últimas unidades; cabe a fonte LRS-150 (159 × 97 × 30 mm) e as placas</t>
  </si>
  <si>
    <t xml:space="preserve">Cooler 40 × 40 mm 12 V</t>
  </si>
  <si>
    <t xml:space="preserve">Cooler PC 40x40mm Fan 12V</t>
  </si>
  <si>
    <t xml:space="preserve">https://www.usinainfo.com.br/coolers-para-pc/cooler-pc-40x40mm-fan-12v-3041.html</t>
  </si>
  <si>
    <t xml:space="preserve">cartão R$ 16,39</t>
  </si>
  <si>
    <t xml:space="preserve">Grade do cooler 40 mm</t>
  </si>
  <si>
    <t xml:space="preserve">Grade para Cooler 40mm Metálica</t>
  </si>
  <si>
    <t xml:space="preserve">https://www.usinainfo.com.br/coolers-para-pc/grade-para-cooler-40mm-metalica-8398.html</t>
  </si>
  <si>
    <t xml:space="preserve">últimas unidades</t>
  </si>
  <si>
    <t xml:space="preserve">Trilho DIN curto</t>
  </si>
  <si>
    <t xml:space="preserve">Trilho Din Patola FDO 037 para Projetos</t>
  </si>
  <si>
    <t xml:space="preserve">https://www.usinainfo.com.br/caixas-patola/trilho-din-patola-fdo-037-para-projetos-8532.html</t>
  </si>
  <si>
    <t xml:space="preserve">cartão R$ 4,17; 2 peças de 37 mm (disjuntor e DPS)</t>
  </si>
  <si>
    <t xml:space="preserve">Minidisjuntor 2 A</t>
  </si>
  <si>
    <t xml:space="preserve">Leroy Merlin</t>
  </si>
  <si>
    <t xml:space="preserve">Minidisjuntor Unipolar 2a Mdwp-c2a Weg</t>
  </si>
  <si>
    <t xml:space="preserve">https://www.leroymerlin.com.br/minidisjuntor-unipolar-2a-mdwp-c2a-weg_1572704659</t>
  </si>
  <si>
    <t xml:space="preserve">preço do site</t>
  </si>
  <si>
    <t xml:space="preserve">vendido por Automatize Soluções; frete à parte</t>
  </si>
  <si>
    <t xml:space="preserve">4 bornes de distribuição de 12 V</t>
  </si>
  <si>
    <t xml:space="preserve">Canaleta 20 × 10 mm (barra 2 m)</t>
  </si>
  <si>
    <t xml:space="preserve">Telhanorte</t>
  </si>
  <si>
    <t xml:space="preserve">Canaleta Pvc 20X10Mm 2M Com Adesivo Preto Forceline</t>
  </si>
  <si>
    <t xml:space="preserve">https://www.telhanorte.com.br/canaleta-pvc-20x10mm-2m-com-adesivo-preto-forceline-2633671/p</t>
  </si>
  <si>
    <t xml:space="preserve">site R$ 10,90; barra de 2 m</t>
  </si>
  <si>
    <t xml:space="preserve">Abraçadeiras 200 mm (100 un)</t>
  </si>
  <si>
    <t xml:space="preserve">Abraçadeira De Nylon 200x2,5mm Preta Com 100 Peças - Vonder</t>
  </si>
  <si>
    <t xml:space="preserve">https://www.leroymerlin.com.br/abracadeira-de-nylon-200x2,5mm-preta-com-100-pecas-vonder_1567218483</t>
  </si>
  <si>
    <t xml:space="preserve">1 pacote por estação; vendido por Zanline</t>
  </si>
  <si>
    <t xml:space="preserve">Etiquetas de endereço</t>
  </si>
  <si>
    <t xml:space="preserve">Kalunga</t>
  </si>
  <si>
    <t xml:space="preserve">Etiqueta ink-jet/laser Carta 33,9x101,6 6182 Pimaco PT 1400 UN</t>
  </si>
  <si>
    <t xml:space="preserve">https://www.kalunga.com.br/prod/etiqueta-ink-jet-laser-carta-33-9x101-6-6182-pimaco-pt-1400-un/278998</t>
  </si>
  <si>
    <t xml:space="preserve">200 etiquetas por estação; a página mostrou indisponível no site</t>
  </si>
  <si>
    <t xml:space="preserve">Switch TL-SG1024DE</t>
  </si>
  <si>
    <t xml:space="preserve">Switch Tp-link Tl-sg1024de 24 Portas 10/100/1000 Gigabit Gerenciavel Rack</t>
  </si>
  <si>
    <t xml:space="preserve">https://www.kabum.com.br/produto/429922/switch-tp-link-tl-sg1024de-24-portas-10-100-1000-gigabit-gerenciavel-rack</t>
  </si>
  <si>
    <t xml:space="preserve">10x R$ 76,93</t>
  </si>
  <si>
    <t xml:space="preserve">Tag NFC NTAG213 (100 un)</t>
  </si>
  <si>
    <t xml:space="preserve">Loja RFID</t>
  </si>
  <si>
    <t xml:space="preserve">Etiqueta RFID 13,56 MHz NFC NTAG213 Branca - 100 unidades</t>
  </si>
  <si>
    <t xml:space="preserve">https://loja.lojarfid.com.br/13-56-mhz-mf/etiquetas/etiqueta-rfid-13-56-mhz-nfc-ntag213-branca-100-unidades</t>
  </si>
  <si>
    <t xml:space="preserve">à vista (boleto)</t>
  </si>
  <si>
    <t xml:space="preserve">normal R$ 249,90; lote de 5.000 deve sair mais barato (pedir cotação)</t>
  </si>
  <si>
    <t xml:space="preserve">Fita transparente 45 mm × 45 m (4 rolos)</t>
  </si>
  <si>
    <t xml:space="preserve">Fita Adesiva Transparente PP, 45mm x 45m, Stick Tape - PT 4 UN</t>
  </si>
  <si>
    <t xml:space="preserve">https://www.kalunga.com.br/prod/fita-adesiva-transparente-pp-45mm-x-45m-stick-tape-pt-4-un/305591</t>
  </si>
  <si>
    <t xml:space="preserve">4 rolos × 45 m ÷ 6 cm por caixa = 3.000 caixas</t>
  </si>
  <si>
    <t xml:space="preserve">ESP32-C3 Super Mini</t>
  </si>
  <si>
    <t xml:space="preserve">ESP32-C3 Super Mini WiFi Bluetooth USB-C com 13 GPIOs</t>
  </si>
  <si>
    <t xml:space="preserve">https://www.usinainfo.com.br/esp32/esp32-c3-super-mini-com-wifi-e-bluetooth-com-usb-c-8967.html</t>
  </si>
  <si>
    <t xml:space="preserve">cartão R$ 31,46; últimas unidades</t>
  </si>
  <si>
    <t xml:space="preserve">Kit leitor PN532</t>
  </si>
  <si>
    <t xml:space="preserve">Kit Módulo Leitor RFID NFC PN532</t>
  </si>
  <si>
    <t xml:space="preserve">https://www.makerhero.com/produto/kit-modulo-leitor-rfid-nfc-pn532/</t>
  </si>
  <si>
    <t xml:space="preserve">normal R$ 44,90; em estoque</t>
  </si>
  <si>
    <t xml:space="preserve">Bateria LiPo 3,7 V ~500 mAh</t>
  </si>
  <si>
    <t xml:space="preserve">RoboCore</t>
  </si>
  <si>
    <t xml:space="preserve">Bateria LiPo 3,7V 530mAh 30C</t>
  </si>
  <si>
    <t xml:space="preserve">https://www.robocore.net/loja/baterias/bateria-lipo-1s-530mah-30c</t>
  </si>
  <si>
    <t xml:space="preserve">estimativa (preço não lido)</t>
  </si>
  <si>
    <t xml:space="preserve">PREÇO NÃO LIDO: o site não respondeu nas consultas de 27/10/2026 e as outras lojas consultadas estavam sem estoque. Valor estimado, confirmar na página antes da compra</t>
  </si>
  <si>
    <t xml:space="preserve">Carregador TP4056 USB-C</t>
  </si>
  <si>
    <t xml:space="preserve">Módulo Carregador de Baterias de Lítio TP4056 com Proteção - USB-C</t>
  </si>
  <si>
    <t xml:space="preserve">https://www.eletrogate.com/modulo-carregador-de-baterias-de-litio-tp4056-com-protecao-usb-c</t>
  </si>
  <si>
    <t xml:space="preserve">normal R$ 4,90</t>
  </si>
  <si>
    <t xml:space="preserve">Motor de vibração 1027</t>
  </si>
  <si>
    <t xml:space="preserve">Micro Motor de Vibração Vibracall 1027</t>
  </si>
  <si>
    <t xml:space="preserve">https://www.eletrogate.com/micro-motor-de-vibracao-vibracall</t>
  </si>
  <si>
    <t xml:space="preserve">normal R$ 4,40</t>
  </si>
  <si>
    <t xml:space="preserve">Chave táctil 6 × 6 mm</t>
  </si>
  <si>
    <t xml:space="preserve">Push Button (Chave Táctil) 6x6x6mm</t>
  </si>
  <si>
    <t xml:space="preserve">https://www.eletrogate.com/push-button-chave-tactil-6x6x6mm</t>
  </si>
  <si>
    <t xml:space="preserve">normal R$ 0,22</t>
  </si>
  <si>
    <t xml:space="preserve">Caixa Patola PB-060</t>
  </si>
  <si>
    <t xml:space="preserve">Caixa Patola PB-060 para Montagem 29 x 52 x 64 mm</t>
  </si>
  <si>
    <t xml:space="preserve">https://www.usinainfo.com.br/caixas-patola/caixa-patola-pb-060-para-montagem-29-x-52-x-64-mm-8284.html</t>
  </si>
  <si>
    <t xml:space="preserve">últimas unidades; cabe o PN532 (43 × 40 mm)</t>
  </si>
  <si>
    <t xml:space="preserve">Fita de velcro 10 mm (rolo 10 m)</t>
  </si>
  <si>
    <t xml:space="preserve">Fita Fecho De Contato | Organizador De Cabos Preto | Rolo 10m X 10mm</t>
  </si>
  <si>
    <t xml:space="preserve">https://www.leroymerlin.com.br/fita-fecho-de-contato-%7C-organizador-de-cabos-preto-%7C-rolo-10m-x-10mm_1571751164</t>
  </si>
  <si>
    <t xml:space="preserve">0,3 m por pulseira; vendido por 47elétrica</t>
  </si>
  <si>
    <t xml:space="preserve">Cabo PP 3 × 1,0 mm² (50 m)</t>
  </si>
  <si>
    <t xml:space="preserve">Cabo Pp 3x1,00 Mm Elétrico Flexível Preto - 50 Metros</t>
  </si>
  <si>
    <t xml:space="preserve">https://www.kabum.com.br/produto/722927/cabo-pp-3x1-00-mm-eletrico-flexivel-preto-50-metros</t>
  </si>
  <si>
    <t xml:space="preserve">10x R$ 48,62</t>
  </si>
  <si>
    <t xml:space="preserve">Plugue 2P+T com prensa-cabo (10 un)</t>
  </si>
  <si>
    <t xml:space="preserve">Pino Plug Macho Ilumi Prensa Cabo 2p+t 10a Embalagem Com 10 Unidades</t>
  </si>
  <si>
    <t xml:space="preserve">https://www.leroymerlin.com.br/pino-plug-macho-ilumi-prensa-cabo-2p-t-10a-embalagem-com-10-unidades_1568301310</t>
  </si>
  <si>
    <t xml:space="preserve">vendido por Mtop</t>
  </si>
  <si>
    <t xml:space="preserve">DPS 275 V 20 kA</t>
  </si>
  <si>
    <t xml:space="preserve">Protetor De Surto Dps Classe Ii/iii 20ka 275vca Fase (Embrastec)</t>
  </si>
  <si>
    <t xml:space="preserve">https://www.leroymerlin.com.br/protetor-de-surto-dps-classe-ii-iii-20ka-275vca-fase_1570251308</t>
  </si>
  <si>
    <t xml:space="preserve">vendido por Eletrotécnica Vera Cruz</t>
  </si>
  <si>
    <t xml:space="preserve">Kit rede Nexans</t>
  </si>
  <si>
    <t xml:space="preserve">Kit Cabo De Rede Nexans 40 Metros, Alicate, Testador, 10xrj45, Cat5e</t>
  </si>
  <si>
    <t xml:space="preserve">https://www.kabum.com.br/produto/386101/kit-cabo-de-rede-nexans-40-metros-alicate-testador-10xrj45-cat5e</t>
  </si>
  <si>
    <t xml:space="preserve">10x R$ 28,59</t>
  </si>
  <si>
    <t xml:space="preserve">Estação de solda 60 W</t>
  </si>
  <si>
    <t xml:space="preserve">Estacao De Solda Analogica 60w 220v Hk936a Preta Hikari</t>
  </si>
  <si>
    <t xml:space="preserve">https://www.leroymerlin.com.br/estacao-de-solda-analogica-60w-220v-hk936a-preta-hikari_1566757438</t>
  </si>
  <si>
    <t xml:space="preserve">de R$ 536,90; vendido por 47elétrica</t>
  </si>
  <si>
    <t xml:space="preserve">Multímetro digital</t>
  </si>
  <si>
    <t xml:space="preserve">Multímetro Digital Hikari HM-1001 CAT I 1000V</t>
  </si>
  <si>
    <t xml:space="preserve">https://www.usinainfo.com.br/multimetros/multimetro-digital-hikari-hm-1001-cat-i-1000v-5502.html</t>
  </si>
  <si>
    <t xml:space="preserve">cartão R$ 60,83; últimas unidades</t>
  </si>
  <si>
    <t xml:space="preserve">Estanho 1,0 mm 500 g</t>
  </si>
  <si>
    <t xml:space="preserve">Solda Estanho Cobix 1.0mm 60x40 500g</t>
  </si>
  <si>
    <t xml:space="preserve">https://www.leroymerlin.com.br/solda-estanho-cobix-1-0mm-60x40-500g_1566817011</t>
  </si>
  <si>
    <t xml:space="preserve">de R$ 195,00; vendido por Pd Atacadista</t>
  </si>
  <si>
    <t xml:space="preserve">Nobreak XNB 720 VA</t>
  </si>
  <si>
    <t xml:space="preserve">Nobreak Intelbras XNB, 720VA, Bivolt - 4822010</t>
  </si>
  <si>
    <t xml:space="preserve">https://www.kabum.com.br/produto/229971/nobreak-intelbras-xnb-720va-bivolt-4822010</t>
  </si>
  <si>
    <t xml:space="preserve">normal R$ 697,00; vendido por Kadri Tecnologia</t>
  </si>
  <si>
    <t xml:space="preserve">Mini rack 5U MRM 537</t>
  </si>
  <si>
    <t xml:space="preserve">Mini Rack 05U x 19P x 370mm, Montado MRM 537, Preto - Intelbras</t>
  </si>
  <si>
    <t xml:space="preserve">https://www.kabum.com.br/produto/291255/mini-rack-05u-x-19p-x-370mm-montado-mrm-537-preto-intelbras</t>
  </si>
  <si>
    <t xml:space="preserve">10x R$ 36,10; vendido por MIRANDA</t>
  </si>
  <si>
    <t xml:space="preserve">Organizador de cabos 1U</t>
  </si>
  <si>
    <t xml:space="preserve">Organizador De Cabos Intelbras Och1u 40, Para Rack 1u 40mm, Preto - 4770004</t>
  </si>
  <si>
    <t xml:space="preserve">https://www.kabum.com.br/produto/235380/organizador-de-cabos-intelbras-para-rack-1u-40-mm-och1u-40</t>
  </si>
  <si>
    <t xml:space="preserve">vendido por Digi Mania</t>
  </si>
  <si>
    <t xml:space="preserve">Patch cord Cat5e 1,5 m</t>
  </si>
  <si>
    <t xml:space="preserve">Cabo De Rede Md9 Patch Cord 1.5m Azul Cat5e</t>
  </si>
  <si>
    <t xml:space="preserve">https://www.kabum.com.br/produto/233241/cabo-de-rede-md9-patch-cord-1-5m-azul-cat5e</t>
  </si>
  <si>
    <t xml:space="preserve">normal R$ 8,01; uplink e reserva</t>
  </si>
  <si>
    <t xml:space="preserve">Carregador USB 2 portas</t>
  </si>
  <si>
    <t xml:space="preserve">Carregador De Tomada Universal USB Kaidi, 2 portas, Branco - Kd-301</t>
  </si>
  <si>
    <t xml:space="preserve">https://www.kabum.com.br/produto/394690/carregador-de-tomada-universal-usb-kaidi-carregador-domestico-2-portas-branco-kd-301</t>
  </si>
  <si>
    <t xml:space="preserve">vendido por Assistec</t>
  </si>
  <si>
    <t xml:space="preserve">Ponto de tomada 220 V (serviço)</t>
  </si>
  <si>
    <t xml:space="preserve">A cotar</t>
  </si>
  <si>
    <t xml:space="preserve">Material + eletricista, com a manutenção predial</t>
  </si>
  <si>
    <t xml:space="preserve">sem link (cotar)</t>
  </si>
  <si>
    <t xml:space="preserve">estimativa</t>
  </si>
  <si>
    <t xml:space="preserve">SEM LINK por decisão: serviço a cotar com a manutenção predial</t>
  </si>
  <si>
    <t xml:space="preserve">Sinaleiro LED 22 mm amarelo 12 V</t>
  </si>
  <si>
    <t xml:space="preserve">Luz Automação</t>
  </si>
  <si>
    <t xml:space="preserve">L20-AR9-Y | Sinaleiro Led 22mm - 12vcc/vca - Amarelo | Metaltex</t>
  </si>
  <si>
    <t xml:space="preserve">https://www.luzautomacao.com.br/produto/sinaleiro-led-22mm-12v-amarelo-metaltex</t>
  </si>
  <si>
    <t xml:space="preserve">40 em estoque</t>
  </si>
  <si>
    <t xml:space="preserve">Haste (cantoneira de alumínio 1 m)</t>
  </si>
  <si>
    <t xml:space="preserve">Perfil Aluminio Preto L-013 Cantoneira 1 Pol 25mm Acabamento Canto Parede Barra 1 Mt</t>
  </si>
  <si>
    <t xml:space="preserve">https://www.leroymerlin.com.br/perfil-aluminio-preto-l-013-cantoneira-1-pol-25mm-acabamento-canto-parede-barra-1-mt_1572585517</t>
  </si>
  <si>
    <t xml:space="preserve">a prazo R$ 33,24; 0,5 m por estação</t>
  </si>
  <si>
    <t xml:space="preserve">Transistor BC337 (kit 5)</t>
  </si>
  <si>
    <t xml:space="preserve">Transistor BC337 NPN para Projetos - Kit com 5 unidades</t>
  </si>
  <si>
    <t xml:space="preserve">https://www.usinainfo.com.br/transistor-bc/transistor-bc337-para-projetos-kit-com-5-unidades-2998.html</t>
  </si>
  <si>
    <t xml:space="preserve">cartão R$ 3,45; aciona o sinaleiro pela saída do nó</t>
  </si>
  <si>
    <t xml:space="preserve">Plano de MDF cru 120 × 60 cm</t>
  </si>
  <si>
    <t xml:space="preserve">Key Móveis</t>
  </si>
  <si>
    <t xml:space="preserve">Plano de Mdf Cru 120x60</t>
  </si>
  <si>
    <t xml:space="preserve">https://www.keymoveis.com.br/plano-de-mdf-cru-120x60</t>
  </si>
  <si>
    <t xml:space="preserve">de R$ 54,27; disponível</t>
  </si>
  <si>
    <t xml:space="preserve">Longarina (cantoneira de alumínio 1 m)</t>
  </si>
  <si>
    <t xml:space="preserve">simula a frente da prateleira</t>
  </si>
  <si>
    <t xml:space="preserve">Switch 5 portas TL-SG1005D</t>
  </si>
  <si>
    <t xml:space="preserve">Switch 5 Portas Gigabit - Tp-link Tl-sg1005d</t>
  </si>
  <si>
    <t xml:space="preserve">https://www.kabum.com.br/produto/205611/switch-5-portas-10-100-1000-gigabit-mesa-tl-sg1005d-tp-link</t>
  </si>
  <si>
    <t xml:space="preserve">4x R$ 27,53; vendido por STORN35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</si>
  <si>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</si>
  <si>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</si>
  <si>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</si>
  <si>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</si>
  <si>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</si>
  <si>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unitário, Módulo Q</t>
  </si>
  <si>
    <t xml:space="preserve">Nó de coluna</t>
  </si>
  <si>
    <t xml:space="preserve">Custo unitário, Nó de coluna</t>
  </si>
  <si>
    <t xml:space="preserve">Módulo E+Q</t>
  </si>
  <si>
    <t xml:space="preserve">Custo unitário, Módulo E+Q</t>
  </si>
  <si>
    <t xml:space="preserve">Concentrador 12 V</t>
  </si>
  <si>
    <t xml:space="preserve">Custo unitário, Concentrador 12 V</t>
  </si>
  <si>
    <t xml:space="preserve">Concentrador 5 V</t>
  </si>
  <si>
    <t xml:space="preserve">Custo unitário, Concentrador 5 V</t>
  </si>
  <si>
    <t xml:space="preserve">Pulseira RFID (futuro)</t>
  </si>
  <si>
    <t xml:space="preserve">Custo unitário, Pulseira RFID (futuro)</t>
  </si>
  <si>
    <t xml:space="preserve">Tag por caixa (RFID futuro)</t>
  </si>
  <si>
    <t xml:space="preserve">Custo unitário, Tag por caixa (RFID futuro)</t>
  </si>
  <si>
    <t xml:space="preserve">Variante 5 V: os módulos e nós não usam regulador step-down (P08); o custo é descontado na aba A-Interno.</t>
  </si>
  <si>
    <t xml:space="preserve">Concentrador: inclui alimentação até a tomada (3 m de cabo PP, plugue) e protetor de surto.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</si>
  <si>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</si>
  <si>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</si>
  <si>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</si>
  <si>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</si>
  <si>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</si>
  <si>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A,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</si>
  <si>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</si>
  <si>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</si>
  <si>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</si>
  <si>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</si>
  <si>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</si>
  <si>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</si>
  <si>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</si>
  <si>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</si>
  <si>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</si>
  <si>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</si>
  <si>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</si>
  <si>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</si>
  <si>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</si>
  <si>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</si>
  <si>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</si>
  <si>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</si>
  <si>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Sinal luminoso de baixo giro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</si>
  <si>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</si>
  <si>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</si>
  <si>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</si>
  <si>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</si>
  <si>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</si>
  <si>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</si>
  <si>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</si>
  <si>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</si>
  <si>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</si>
  <si>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</si>
  <si>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</si>
  <si>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</si>
  <si>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</si>
  <si>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</si>
  <si>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</si>
  <si>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Frete das compras</t>
  </si>
  <si>
    <t xml:space="preserve">% sobre peças e infraestrutura acima</t>
  </si>
  <si>
    <t xml:space="preserve">SUBTOTAL MATERIAIS, Arquitetura A (12 V)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</si>
  <si>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</si>
  <si>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</si>
  <si>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</si>
  <si>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</si>
  <si>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</si>
  <si>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</si>
  <si>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</si>
  <si>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</si>
  <si>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</si>
  <si>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</si>
  <si>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</si>
  <si>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</si>
  <si>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</si>
  <si>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</si>
  <si>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</si>
  <si>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</si>
  <si>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</si>
  <si>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TOTAL, Arquitetura A interna (materiais + mão de obra)</t>
  </si>
  <si>
    <t xml:space="preserve">Variante 5 V (materiais)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</si>
  <si>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</si>
  <si>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</si>
  <si>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</si>
  <si>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</si>
  <si>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</si>
  <si>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MATERIAIS, variante 5 V</t>
  </si>
  <si>
    <t xml:space="preserve">T1, Placas próprias fabricadas e montadas por EMS (cada módulo com seu microcontrolador)</t>
  </si>
  <si>
    <t xml:space="preserve">Módulo Q, PCB montada + carcaça</t>
  </si>
  <si>
    <t xml:space="preserve">Módulo E+Q, PCB montada + carcaça + botão</t>
  </si>
  <si>
    <t xml:space="preserve">Concentrador, PCB montada + fonte + gabinete + alimentação</t>
  </si>
  <si>
    <t xml:space="preserve">estações × (1 + reserva)</t>
  </si>
  <si>
    <t xml:space="preserve">Cabo do barramento em cadeia (m)</t>
  </si>
  <si>
    <t xml:space="preserve">Q × m em cadeia + E+Q × m por segmento + saídas</t>
  </si>
  <si>
    <t xml:space="preserve">2 por módulo + 4 por estação</t>
  </si>
  <si>
    <t xml:space="preserve">Infraestrutura (canaleta, rede, switches, energia, ferramentas)</t>
  </si>
  <si>
    <t xml:space="preserve">igual à Arquitetura A</t>
  </si>
  <si>
    <t xml:space="preserve">Engenharia de projeto das PCBs (valor único)</t>
  </si>
  <si>
    <t xml:space="preserve">1 projeto</t>
  </si>
  <si>
    <t xml:space="preserve">Montagem final + gravação + teste (h)</t>
  </si>
  <si>
    <t xml:space="preserve">módulos e concentradores recebidos × h/un</t>
  </si>
  <si>
    <t xml:space="preserve">Instalação + comissionamento (h)</t>
  </si>
  <si>
    <t xml:space="preserve">como na Arquitetura A, sem nós de coluna</t>
  </si>
  <si>
    <t xml:space="preserve">Treinamento (operadores e manutenção)</t>
  </si>
  <si>
    <t xml:space="preserve">TOTAL T1, PCB própria (EMS)</t>
  </si>
  <si>
    <t xml:space="preserve">T2,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</si>
  <si>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</si>
  <si>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</si>
  <si>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</si>
  <si>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</si>
  <si>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+ alimentação por estação</t>
  </si>
  <si>
    <t xml:space="preserve">TOTAL T2, PTL comercial importado</t>
  </si>
  <si>
    <t xml:space="preserve">Valores em US$ convertidos por câmbio × fator de importação (aba Premissas). Itens de PTL comercial sem preço público devem ser cotados com fornecedores (ex.: ATOP, Aioi, fornecedores nacionais). Frete nacional não aplicado aqui: os itens principais são importados (frete no fator de importação).</t>
  </si>
  <si>
    <t xml:space="preserve">Melhoria futura (não entra na POC nem na implantação inicial): tag NFC na caixa + pulseira no operador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</si>
  <si>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</si>
  <si>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</si>
  <si>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</si>
  <si>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</si>
  <si>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Pulseiras NFC (ESP32-C3 + PN532 + bateria)</t>
  </si>
  <si>
    <t xml:space="preserve">estações × pulseiras por estação</t>
  </si>
  <si>
    <t xml:space="preserve">Carregador USB das pulseiras</t>
  </si>
  <si>
    <t xml:space="preserve">1 por estação</t>
  </si>
  <si>
    <t xml:space="preserve">Montagem das pulseiras (h)</t>
  </si>
  <si>
    <t xml:space="preserve">1,5 h por pulseira</t>
  </si>
  <si>
    <t xml:space="preserve">ACRÉSCIMO DO RFID sobre a Arquitetura A</t>
  </si>
  <si>
    <t xml:space="preserve">Referência: Arquitetura A + RFID</t>
  </si>
  <si>
    <t xml:space="preserve">aba A-Interno + acréscimo acima</t>
  </si>
  <si>
    <t xml:space="preserve">Referência de mercado, leitor de pulso comercial</t>
  </si>
  <si>
    <t xml:space="preserve">FEIG HyWEAR (UHF) por pulseira, não lê NFC; exigiria tags UHF</t>
  </si>
  <si>
    <t xml:space="preserve">O hardware e o software da Arquitetura A já ficam preparados para receber a leitura RFID depois. O leitor fixo na estação (antiga opção B2) foi retirado do projeto em 26/10/2026.</t>
  </si>
  <si>
    <t xml:space="preserve">Arquitetura</t>
  </si>
  <si>
    <t xml:space="preserve">Horas estimadas</t>
  </si>
  <si>
    <t xml:space="preserve">Custo (R$)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</si>
  <si>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</si>
  <si>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</si>
  <si>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</si>
  <si>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</si>
  <si>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</si>
  <si>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</si>
  <si>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</si>
  <si>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(A1,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</si>
  <si>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</si>
  <si>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</si>
  <si>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</si>
  <si>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A2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</si>
  <si>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</si>
  <si>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</si>
  <si>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</si>
  <si>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</si>
  <si>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</si>
  <si>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pela pulseira (melhoria futura)</t>
  </si>
  <si>
    <t xml:space="preserve">RFID</t>
  </si>
  <si>
    <t xml:space="preserve">Fora do escopo inicial</t>
  </si>
  <si>
    <t xml:space="preserve">Painel de monitoramento (gestão e TI)</t>
  </si>
  <si>
    <t xml:space="preserve">Status das estações, módulos com falha, produtividade</t>
  </si>
  <si>
    <t xml:space="preserve">Interface de controle: qual LED falhou + cadastro de LED por endereço (tela + botão)</t>
  </si>
  <si>
    <t xml:space="preserve">Diagnóstico no firmware (sem resposta, display sem ACK, botão travado), modo cadastro e tabela ptl_mapa_led</t>
  </si>
  <si>
    <t xml:space="preserve">Implantação do servidor (VM, broker MQTT, backup, monitoração)</t>
  </si>
  <si>
    <t xml:space="preserve">Considera VM em infraestrutura já existente; sem compra de servidor</t>
  </si>
  <si>
    <t xml:space="preserve">Testes integrados, piloto e homologação</t>
  </si>
  <si>
    <t xml:space="preserve">Inclui ajustes na POC (estações 04 e 27)</t>
  </si>
  <si>
    <t xml:space="preserve">Documentação e treinamento</t>
  </si>
  <si>
    <t xml:space="preserve">Operação, manutenção e suporte</t>
  </si>
  <si>
    <t xml:space="preserve">TOTAL, Arquitetura A com app próprio (A1)</t>
  </si>
  <si>
    <t xml:space="preserve">Com a tela no WMS (A2) no lugar do app: troque o item A1 (160 h) pelo A2 (80 h).</t>
  </si>
  <si>
    <t xml:space="preserve">Melhoria futura: acréscimo do RFID</t>
  </si>
  <si>
    <t xml:space="preserve">Custo-hora de desenvolvimento calculado na aba Premissas (salário de mercado × encargos ÷ horas). É custo interno da equipe, não desembolso extra, a menos que o desenvolvimento seja contratado.</t>
  </si>
  <si>
    <t xml:space="preserve">POC: bancada + estações 04 e 27 (Arquitetura A, coletor)</t>
  </si>
  <si>
    <t xml:space="preserve">Fase 1 valida o hardware e o software na bancada; fase 2 instala nas estações 04 (Medicamento) e 27 (Perfumaria). As estações da POC são as marcadas 'S' na aba Estações.</t>
  </si>
  <si>
    <t xml:space="preserve">Qtd</t>
  </si>
  <si>
    <t xml:space="preserve">Total (R$)</t>
  </si>
  <si>
    <t xml:space="preserve">Fase 1, bancada (1 coluna de alto giro, 1 zona de cada tipo)</t>
  </si>
  <si>
    <t xml:space="preserve">Concentrador 12 V completo</t>
  </si>
  <si>
    <t xml:space="preserve">gabinete, fonte, placa, alimentação</t>
  </si>
  <si>
    <t xml:space="preserve">1 prédio de alto giro</t>
  </si>
  <si>
    <t xml:space="preserve">Módulos Q</t>
  </si>
  <si>
    <t xml:space="preserve">4 andares (0 a 3) do prédio</t>
  </si>
  <si>
    <t xml:space="preserve">1 zona dos andares 4-5 + 1 zona do baixo giro</t>
  </si>
  <si>
    <t xml:space="preserve">barra âmbar</t>
  </si>
  <si>
    <t xml:space="preserve">Cabo Cat5e (m)</t>
  </si>
  <si>
    <t xml:space="preserve">barramento e ligações da bancada</t>
  </si>
  <si>
    <t xml:space="preserve">Plugs RJ45</t>
  </si>
  <si>
    <t xml:space="preserve">Painel de MDF com longarina</t>
  </si>
  <si>
    <t xml:space="preserve">simula a prateleira</t>
  </si>
  <si>
    <t xml:space="preserve">Switch 5 portas</t>
  </si>
  <si>
    <t xml:space="preserve">rede da bancada</t>
  </si>
  <si>
    <t xml:space="preserve">compra única, servem para a fase 2</t>
  </si>
  <si>
    <t xml:space="preserve">compra única, serve para a fase 2</t>
  </si>
  <si>
    <t xml:space="preserve">% sobre os itens acima</t>
  </si>
  <si>
    <t xml:space="preserve">Montagem dos módulos (h)</t>
  </si>
  <si>
    <t xml:space="preserve">conc. + nó + 4 Q + 2 E+Q</t>
  </si>
  <si>
    <t xml:space="preserve">Testes de bancada (h)</t>
  </si>
  <si>
    <t xml:space="preserve">acender, confirmar, falha, troca e cadastro de LED, 48 h de operação contínua</t>
  </si>
  <si>
    <t xml:space="preserve">TOTAL FASE 1, bancada</t>
  </si>
  <si>
    <t xml:space="preserve">Fase 2, instalação nas estações 04 e 27</t>
  </si>
  <si>
    <t xml:space="preserve">Materiais, montagem, instalação e treinamento das 2 estações</t>
  </si>
  <si>
    <t xml:space="preserve">aba A-Interno, coluna piloto (estações com 'S')</t>
  </si>
  <si>
    <t xml:space="preserve">(−) Ferramentas já compradas na fase 1</t>
  </si>
  <si>
    <t xml:space="preserve">kit de rede + bancada de eletrônica</t>
  </si>
  <si>
    <t xml:space="preserve">(−) Módulos da bancada reaproveitados na estação</t>
  </si>
  <si>
    <t xml:space="preserve">o concentrador, o nó, os 4 Q e os 2 E+Q da bancada vão para a estação 04</t>
  </si>
  <si>
    <t xml:space="preserve">TOTAL FASE 2, estações 04 e 27</t>
  </si>
  <si>
    <t xml:space="preserve">HARDWARE DA POC (fase 1 + fase 2)</t>
  </si>
  <si>
    <t xml:space="preserve">Contingência</t>
  </si>
  <si>
    <t xml:space="preserve">% sobre o hardware da POC</t>
  </si>
  <si>
    <t xml:space="preserve">HARDWARE DA POC COM CONTINGÊNCIA (desembolso)</t>
  </si>
  <si>
    <t xml:space="preserve">Software para a POC (equipe interna, versão mínima)</t>
  </si>
  <si>
    <t xml:space="preserve">Firmware do concentrador, dos nós e dos E+Q</t>
  </si>
  <si>
    <t xml:space="preserve">barramento, endereçamento, diagnóstico, cadastro</t>
  </si>
  <si>
    <t xml:space="preserve">Serviço PTL, versão mínima</t>
  </si>
  <si>
    <t xml:space="preserve">abrir e fechar caixa, acender, confirmar, sinal de baixo giro</t>
  </si>
  <si>
    <t xml:space="preserve">Integração Sybase (leitura dos itens da caixa)</t>
  </si>
  <si>
    <t xml:space="preserve">views de leitura e gravação de eventos</t>
  </si>
  <si>
    <t xml:space="preserve">App do coletor (A1), versão mínima</t>
  </si>
  <si>
    <t xml:space="preserve">leitura com gatilho e progresso da caixa</t>
  </si>
  <si>
    <t xml:space="preserve">Interface de controle, versão mínima</t>
  </si>
  <si>
    <t xml:space="preserve">falhas de LED e cadastro por endereço</t>
  </si>
  <si>
    <t xml:space="preserve">Testes da bancada e operação assistida</t>
  </si>
  <si>
    <t xml:space="preserve">ajustes durante a POC</t>
  </si>
  <si>
    <t xml:space="preserve">SOFTWARE DA POC (horas e custo interno)</t>
  </si>
  <si>
    <t xml:space="preserve">Prazo estimado: bancada 3 a 4 semanas; instalação nas 2 estações 1 semana; operação assistida 4 semanas.</t>
  </si>
  <si>
    <t xml:space="preserve">O software da POC é a primeira parte do software do projeto (aba Software), não um custo a mais.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</si>
</sst>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usinainfo.com.br/display-arduino/modulo-display-tm1637-7-segmentos-4-digitos-vermelho-2943.html" TargetMode="External"/><Relationship Id="rId2" Type="http://schemas.openxmlformats.org/officeDocument/2006/relationships/hyperlink" Target="https://www.usinainfo.com.br/display-arduino/modulo-display-led-8-digitos-com-interface-controle-spi-max7219-4416.html" TargetMode="External"/><Relationship Id="rId3" Type="http://schemas.openxmlformats.org/officeDocument/2006/relationships/hyperlink" Target="https://www.makerhero.com/produto/raspberry-pi-pico/" TargetMode="External"/><Relationship Id="rId4" Type="http://schemas.openxmlformats.org/officeDocument/2006/relationships/hyperlink" Target="https://www.saravati.com.br/modulo-conversor-de-dados-ttl-para-rs485-max485.html" TargetMode="External"/><Relationship Id="rId5" Type="http://schemas.openxmlformats.org/officeDocument/2006/relationships/hyperlink" Target="https://www.sparkfun.com/w5500-evb-pico.html" TargetMode="External"/><Relationship Id="rId6" Type="http://schemas.openxmlformats.org/officeDocument/2006/relationships/hyperlink" Target="https://www.mceig.com.br/produto/lrs-150-12-fonte-chaveada-150w-85-264vca-120-373vcc-saida-12vcc-12-5a-mean-well/" TargetMode="External"/><Relationship Id="rId7" Type="http://schemas.openxmlformats.org/officeDocument/2006/relationships/hyperlink" Target="https://www.mceig.com.br/produto/rsp-150-5-fonte-chaveada-fechada-150w-85-264vca-120-370vcc-saida-5v-30a-mean-well/" TargetMode="External"/><Relationship Id="rId8" Type="http://schemas.openxmlformats.org/officeDocument/2006/relationships/hyperlink" Target="https://www.saravati.com.br/modulo-mini-conversor-de-tensao-dc-dc-mp1584en-step-down.html" TargetMode="External"/><Relationship Id="rId9" Type="http://schemas.openxmlformats.org/officeDocument/2006/relationships/hyperlink" Target="https://www.usinainfo.com.br/interruptores-e-pulsadores/interruptor-pulsador-16mm-com-led-vermelho-12-24v-em-aco-inox-impermeavel-3134.html" TargetMode="External"/><Relationship Id="rId10" Type="http://schemas.openxmlformats.org/officeDocument/2006/relationships/hyperlink" Target="https://www.multcomercial.com.br/conector-jack-rj45-femea-com-8-vias-blindado-90-pci-jl46057.html" TargetMode="External"/><Relationship Id="rId11" Type="http://schemas.openxmlformats.org/officeDocument/2006/relationships/hyperlink" Target="https://www.kabum.com.br/produto/328777/plug-conector-rj45-macho-cat-5e-8-vias-crimpar-100-unidades-" TargetMode="External"/><Relationship Id="rId12" Type="http://schemas.openxmlformats.org/officeDocument/2006/relationships/hyperlink" Target="https://www.kabum.com.br/produto/114681/cabo-de-rede-cat-5e-furukawa-305-metros-branco-23200101" TargetMode="External"/><Relationship Id="rId13" Type="http://schemas.openxmlformats.org/officeDocument/2006/relationships/hyperlink" Target="https://www.usinainfo.com.br/caixas-patola/caixa-patola-pb-075-para-montagem-36-x-60-x-75-mm-4390.html" TargetMode="External"/><Relationship Id="rId14" Type="http://schemas.openxmlformats.org/officeDocument/2006/relationships/hyperlink" Target="https://www.usinainfo.com.br/caixas-patola/caixa-patola-case-para-montagem-53-x-85-x-124-mm-pb-112-3879.html" TargetMode="External"/><Relationship Id="rId15" Type="http://schemas.openxmlformats.org/officeDocument/2006/relationships/hyperlink" Target="https://www.eletrogate.com/placa-fenolite-perfurada-7x5cm" TargetMode="External"/><Relationship Id="rId16" Type="http://schemas.openxmlformats.org/officeDocument/2006/relationships/hyperlink" Target="https://www.baudaeletronica.com.br/produto/borne-kre-kf128-2-vias-verde.html" TargetMode="External"/><Relationship Id="rId17" Type="http://schemas.openxmlformats.org/officeDocument/2006/relationships/hyperlink" Target="https://www.usinainfo.com.br/caixas-patola/caixa-patola-pb-22070-para-montagem-71-x-228-x-190-mm-4383.html" TargetMode="External"/><Relationship Id="rId18" Type="http://schemas.openxmlformats.org/officeDocument/2006/relationships/hyperlink" Target="https://www.usinainfo.com.br/coolers-para-pc/cooler-pc-40x40mm-fan-12v-3041.html" TargetMode="External"/><Relationship Id="rId19" Type="http://schemas.openxmlformats.org/officeDocument/2006/relationships/hyperlink" Target="https://www.usinainfo.com.br/coolers-para-pc/grade-para-cooler-40mm-metalica-8398.html" TargetMode="External"/><Relationship Id="rId20" Type="http://schemas.openxmlformats.org/officeDocument/2006/relationships/hyperlink" Target="https://www.usinainfo.com.br/caixas-patola/trilho-din-patola-fdo-037-para-projetos-8532.html" TargetMode="External"/><Relationship Id="rId21" Type="http://schemas.openxmlformats.org/officeDocument/2006/relationships/hyperlink" Target="https://www.leroymerlin.com.br/minidisjuntor-unipolar-2a-mdwp-c2a-weg_1572704659" TargetMode="External"/><Relationship Id="rId22" Type="http://schemas.openxmlformats.org/officeDocument/2006/relationships/hyperlink" Target="https://www.baudaeletronica.com.br/produto/borne-kre-kf128-2-vias-verde.html" TargetMode="External"/><Relationship Id="rId23" Type="http://schemas.openxmlformats.org/officeDocument/2006/relationships/hyperlink" Target="https://www.telhanorte.com.br/canaleta-pvc-20x10mm-2m-com-adesivo-preto-forceline-2633671/p" TargetMode="External"/><Relationship Id="rId24" Type="http://schemas.openxmlformats.org/officeDocument/2006/relationships/hyperlink" Target="https://www.leroymerlin.com.br/abracadeira-de-nylon-200x2,5mm-preta-com-100-pecas-vonder_1567218483" TargetMode="External"/><Relationship Id="rId25" Type="http://schemas.openxmlformats.org/officeDocument/2006/relationships/hyperlink" Target="https://www.kalunga.com.br/prod/etiqueta-ink-jet-laser-carta-33-9x101-6-6182-pimaco-pt-1400-un/278998" TargetMode="External"/><Relationship Id="rId26" Type="http://schemas.openxmlformats.org/officeDocument/2006/relationships/hyperlink" Target="https://www.kabum.com.br/produto/429922/switch-tp-link-tl-sg1024de-24-portas-10-100-1000-gigabit-gerenciavel-rack" TargetMode="External"/><Relationship Id="rId27" Type="http://schemas.openxmlformats.org/officeDocument/2006/relationships/hyperlink" Target="https://loja.lojarfid.com.br/13-56-mhz-mf/etiquetas/etiqueta-rfid-13-56-mhz-nfc-ntag213-branca-100-unidades" TargetMode="External"/><Relationship Id="rId28" Type="http://schemas.openxmlformats.org/officeDocument/2006/relationships/hyperlink" Target="https://www.kalunga.com.br/prod/fita-adesiva-transparente-pp-45mm-x-45m-stick-tape-pt-4-un/305591" TargetMode="External"/><Relationship Id="rId29" Type="http://schemas.openxmlformats.org/officeDocument/2006/relationships/hyperlink" Target="https://www.usinainfo.com.br/esp32/esp32-c3-super-mini-com-wifi-e-bluetooth-com-usb-c-8967.html" TargetMode="External"/><Relationship Id="rId30" Type="http://schemas.openxmlformats.org/officeDocument/2006/relationships/hyperlink" Target="https://www.makerhero.com/produto/kit-modulo-leitor-rfid-nfc-pn532/" TargetMode="External"/><Relationship Id="rId31" Type="http://schemas.openxmlformats.org/officeDocument/2006/relationships/hyperlink" Target="https://www.robocore.net/loja/baterias/bateria-lipo-1s-530mah-30c" TargetMode="External"/><Relationship Id="rId32" Type="http://schemas.openxmlformats.org/officeDocument/2006/relationships/hyperlink" Target="https://www.eletrogate.com/modulo-carregador-de-baterias-de-litio-tp4056-com-protecao-usb-c" TargetMode="External"/><Relationship Id="rId33" Type="http://schemas.openxmlformats.org/officeDocument/2006/relationships/hyperlink" Target="https://www.eletrogate.com/micro-motor-de-vibracao-vibracall" TargetMode="External"/><Relationship Id="rId34" Type="http://schemas.openxmlformats.org/officeDocument/2006/relationships/hyperlink" Target="https://www.eletrogate.com/push-button-chave-tactil-6x6x6mm" TargetMode="External"/><Relationship Id="rId35" Type="http://schemas.openxmlformats.org/officeDocument/2006/relationships/hyperlink" Target="https://www.usinainfo.com.br/caixas-patola/caixa-patola-pb-060-para-montagem-29-x-52-x-64-mm-8284.html" TargetMode="External"/><Relationship Id="rId36" Type="http://schemas.openxmlformats.org/officeDocument/2006/relationships/hyperlink" Target="https://www.leroymerlin.com.br/fita-fecho-de-contato-%7C-organizador-de-cabos-preto-%7C-rolo-10m-x-10mm_1571751164" TargetMode="External"/><Relationship Id="rId37" Type="http://schemas.openxmlformats.org/officeDocument/2006/relationships/hyperlink" Target="https://www.kabum.com.br/produto/722927/cabo-pp-3x1-00-mm-eletrico-flexivel-preto-50-metros" TargetMode="External"/><Relationship Id="rId38" Type="http://schemas.openxmlformats.org/officeDocument/2006/relationships/hyperlink" Target="https://www.leroymerlin.com.br/pino-plug-macho-ilumi-prensa-cabo-2p-t-10a-embalagem-com-10-unidades_1568301310" TargetMode="External"/><Relationship Id="rId39" Type="http://schemas.openxmlformats.org/officeDocument/2006/relationships/hyperlink" Target="https://www.leroymerlin.com.br/protetor-de-surto-dps-classe-ii-iii-20ka-275vca-fase_1570251308" TargetMode="External"/><Relationship Id="rId40" Type="http://schemas.openxmlformats.org/officeDocument/2006/relationships/hyperlink" Target="https://www.kabum.com.br/produto/386101/kit-cabo-de-rede-nexans-40-metros-alicate-testador-10xrj45-cat5e" TargetMode="External"/><Relationship Id="rId41" Type="http://schemas.openxmlformats.org/officeDocument/2006/relationships/hyperlink" Target="https://www.leroymerlin.com.br/estacao-de-solda-analogica-60w-220v-hk936a-preta-hikari_1566757438" TargetMode="External"/><Relationship Id="rId42" Type="http://schemas.openxmlformats.org/officeDocument/2006/relationships/hyperlink" Target="https://www.usinainfo.com.br/multimetros/multimetro-digital-hikari-hm-1001-cat-i-1000v-5502.html" TargetMode="External"/><Relationship Id="rId43" Type="http://schemas.openxmlformats.org/officeDocument/2006/relationships/hyperlink" Target="https://www.leroymerlin.com.br/solda-estanho-cobix-1-0mm-60x40-500g_1566817011" TargetMode="External"/><Relationship Id="rId44" Type="http://schemas.openxmlformats.org/officeDocument/2006/relationships/hyperlink" Target="https://www.kabum.com.br/produto/229971/nobreak-intelbras-xnb-720va-bivolt-4822010" TargetMode="External"/><Relationship Id="rId45" Type="http://schemas.openxmlformats.org/officeDocument/2006/relationships/hyperlink" Target="https://www.kabum.com.br/produto/291255/mini-rack-05u-x-19p-x-370mm-montado-mrm-537-preto-intelbras" TargetMode="External"/><Relationship Id="rId46" Type="http://schemas.openxmlformats.org/officeDocument/2006/relationships/hyperlink" Target="https://www.kabum.com.br/produto/235380/organizador-de-cabos-intelbras-para-rack-1u-40-mm-och1u-40" TargetMode="External"/><Relationship Id="rId47" Type="http://schemas.openxmlformats.org/officeDocument/2006/relationships/hyperlink" Target="https://www.kabum.com.br/produto/233241/cabo-de-rede-md9-patch-cord-1-5m-azul-cat5e" TargetMode="External"/><Relationship Id="rId48" Type="http://schemas.openxmlformats.org/officeDocument/2006/relationships/hyperlink" Target="https://www.kabum.com.br/produto/394690/carregador-de-tomada-universal-usb-kaidi-carregador-domestico-2-portas-branco-kd-301" TargetMode="External"/><Relationship Id="rId49" Type="http://schemas.openxmlformats.org/officeDocument/2006/relationships/hyperlink" Target="https://www.luzautomacao.com.br/produto/sinaleiro-led-22mm-12v-amarelo-metaltex" TargetMode="External"/><Relationship Id="rId50" Type="http://schemas.openxmlformats.org/officeDocument/2006/relationships/hyperlink" Target="https://www.leroymerlin.com.br/perfil-aluminio-preto-l-013-cantoneira-1-pol-25mm-acabamento-canto-parede-barra-1-mt_1572585517" TargetMode="External"/><Relationship Id="rId51" Type="http://schemas.openxmlformats.org/officeDocument/2006/relationships/hyperlink" Target="https://www.usinainfo.com.br/transistor-bc/transistor-bc337-para-projetos-kit-com-5-unidades-2998.html" TargetMode="External"/><Relationship Id="rId52" Type="http://schemas.openxmlformats.org/officeDocument/2006/relationships/hyperlink" Target="https://www.keymoveis.com.br/plano-de-mdf-cru-120x60" TargetMode="External"/><Relationship Id="rId53" Type="http://schemas.openxmlformats.org/officeDocument/2006/relationships/hyperlink" Target="https://www.leroymerlin.com.br/perfil-aluminio-preto-l-013-cantoneira-1-pol-25mm-acabamento-canto-parede-barra-1-mt_1572585517" TargetMode="External"/><Relationship Id="rId54" Type="http://schemas.openxmlformats.org/officeDocument/2006/relationships/hyperlink" Target="https://www.kabum.com.br/produto/205611/switch-5-portas-10-100-1000-gigabit-mesa-tl-sg1005d-tp-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5"/>
  </cols>
  <sheetData>
    <row r="2" customFormat="false" ht="17.35" hidden="false" customHeight="false" outlineLevel="0" collapsed="false">
      <c r="B2" s="1" t="s">
        <v>0</v>
      </c>
    </row>
    <row r="3" customFormat="false" ht="26.8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4" t="s">
        <v>21</v>
      </c>
    </row>
    <row r="27" customFormat="false" ht="35.05" hidden="false" customHeight="false" outlineLevel="0" collapsed="false">
      <c r="B27" s="4" t="s">
        <v>22</v>
      </c>
    </row>
    <row r="28" customFormat="false" ht="23.8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 t="s">
        <v>24</v>
      </c>
    </row>
    <row r="30" customFormat="false" ht="23.8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4" t="s">
        <v>26</v>
      </c>
    </row>
    <row r="32" customFormat="false" ht="15" hidden="false" customHeight="false" outlineLevel="0" collapsed="false">
      <c r="B32" s="3"/>
    </row>
    <row r="33" customFormat="false" ht="15" hidden="false" customHeight="false" outlineLevel="0" collapsed="false">
      <c r="B33" s="2" t="s">
        <v>27</v>
      </c>
    </row>
    <row r="34" customFormat="false" ht="23.8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4" t="s">
        <v>29</v>
      </c>
    </row>
    <row r="36" customFormat="false" ht="15" hidden="false" customHeight="false" outlineLevel="0" collapsed="false">
      <c r="B36" s="4" t="s">
        <v>30</v>
      </c>
    </row>
    <row r="37" customFormat="false" ht="23.85" hidden="false" customHeight="false" outlineLevel="0" collapsed="false">
      <c r="B37" s="4" t="s">
        <v>31</v>
      </c>
    </row>
    <row r="38" customFormat="false" ht="15" hidden="false" customHeight="false" outlineLevel="0" collapsed="false">
      <c r="B38" s="4" t="s">
        <v>32</v>
      </c>
    </row>
    <row r="39" customFormat="false" ht="15" hidden="false" customHeight="false" outlineLevel="0" collapsed="false">
      <c r="B39" s="4" t="s">
        <v>33</v>
      </c>
    </row>
    <row r="40" customFormat="false" ht="15" hidden="false" customHeight="false" outlineLevel="0" collapsed="false">
      <c r="B40" s="4" t="s">
        <v>34</v>
      </c>
    </row>
    <row r="41" customFormat="false" ht="15" hidden="false" customHeight="false" outlineLevel="0" collapsed="false">
      <c r="B41" s="4" t="s">
        <v>35</v>
      </c>
    </row>
    <row r="42" customFormat="false" ht="15" hidden="false" customHeight="false" outlineLevel="0" collapsed="false">
      <c r="B42" s="4" t="s">
        <v>36</v>
      </c>
    </row>
    <row r="43" customFormat="false" ht="15" hidden="false" customHeight="false" outlineLevel="0" collapsed="false">
      <c r="B43" s="4" t="s">
        <v>37</v>
      </c>
    </row>
    <row r="44" customFormat="false" ht="23.85" hidden="false" customHeight="false" outlineLevel="0" collapsed="false">
      <c r="B44" s="4" t="s">
        <v>38</v>
      </c>
    </row>
    <row r="45" customFormat="false" ht="15" hidden="false" customHeight="false" outlineLevel="0" collapsed="false">
      <c r="B45" s="4" t="s">
        <v>39</v>
      </c>
    </row>
    <row r="46" customFormat="false" ht="23.85" hidden="false" customHeight="false" outlineLevel="0" collapsed="false">
      <c r="B46" s="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5" t="s">
        <v>41</v>
      </c>
    </row>
    <row r="2" customFormat="false" ht="15" hidden="false" customHeight="false" outlineLevel="0" collapsed="false">
      <c r="A2" s="6" t="s">
        <v>42</v>
      </c>
    </row>
    <row r="3" customFormat="false" ht="31.5" hidden="false" customHeight="true" outlineLevel="0" collapsed="false">
      <c r="A3" s="7" t="s">
        <v>43</v>
      </c>
      <c r="B3" s="7" t="s">
        <v>44</v>
      </c>
      <c r="C3" s="7" t="s">
        <v>45</v>
      </c>
      <c r="D3" s="7" t="s">
        <v>46</v>
      </c>
      <c r="E3" s="7" t="s">
        <v>47</v>
      </c>
      <c r="F3" s="7" t="s">
        <v>48</v>
      </c>
    </row>
    <row r="4" customFormat="false" ht="15" hidden="false" customHeight="false" outlineLevel="0" collapsed="false">
      <c r="A4" s="8" t="s">
        <v>49</v>
      </c>
      <c r="B4" s="9" t="s">
        <v>50</v>
      </c>
      <c r="C4" s="10" t="n">
        <f aca="false">'A-Interno'!F21</f>
        <v>15478.7624452254</v>
      </c>
      <c r="D4" s="10" t="n">
        <f aca="false">'A-Interno'!G21</f>
        <v>243796.627979754</v>
      </c>
      <c r="E4" s="11" t="n">
        <f aca="false">D4/Estações!$O$43</f>
        <v>6094.91569949385</v>
      </c>
      <c r="F4" s="11" t="n">
        <f aca="false">D4*(1+Premissas!$B$28)</f>
        <v>268176.29077773</v>
      </c>
    </row>
    <row r="5" customFormat="false" ht="15" hidden="false" customHeight="false" outlineLevel="0" collapsed="false">
      <c r="A5" s="8" t="s">
        <v>51</v>
      </c>
      <c r="B5" s="9" t="s">
        <v>52</v>
      </c>
      <c r="C5" s="10" t="n">
        <f aca="false">'A-Interno'!F40</f>
        <v>16813.0304452254</v>
      </c>
      <c r="D5" s="10" t="n">
        <f aca="false">'A-Interno'!G40</f>
        <v>264261.887979754</v>
      </c>
      <c r="E5" s="11" t="n">
        <f aca="false">D5/Estações!$O$43</f>
        <v>6606.54719949385</v>
      </c>
      <c r="F5" s="11" t="n">
        <f aca="false">D5*(1+Premissas!$B$28)</f>
        <v>290688.07677773</v>
      </c>
    </row>
    <row r="6" customFormat="false" ht="15" hidden="false" customHeight="false" outlineLevel="0" collapsed="false">
      <c r="A6" s="8" t="s">
        <v>53</v>
      </c>
      <c r="B6" s="9" t="s">
        <v>54</v>
      </c>
      <c r="C6" s="10" t="n">
        <f aca="false">'A-Interno'!F34</f>
        <v>20179.6189016671</v>
      </c>
      <c r="D6" s="10" t="n">
        <f aca="false">'A-Interno'!G34</f>
        <v>326069.232212883</v>
      </c>
      <c r="E6" s="11" t="n">
        <f aca="false">D6/Estações!$O$43</f>
        <v>8151.73080532207</v>
      </c>
      <c r="F6" s="11" t="n">
        <f aca="false">D6*(1+Premissas!$B$28)</f>
        <v>358676.155434171</v>
      </c>
    </row>
    <row r="7" customFormat="false" ht="15" hidden="false" customHeight="false" outlineLevel="0" collapsed="false">
      <c r="A7" s="8" t="s">
        <v>55</v>
      </c>
      <c r="B7" s="9" t="s">
        <v>56</v>
      </c>
      <c r="C7" s="10" t="n">
        <f aca="false">'A-Terceiros'!F13</f>
        <v>35194.4277772946</v>
      </c>
      <c r="D7" s="10" t="n">
        <f aca="false">'A-Terceiros'!G13</f>
        <v>342031.660168321</v>
      </c>
      <c r="E7" s="11" t="n">
        <f aca="false">D7/Estações!$O$43</f>
        <v>8550.79150420804</v>
      </c>
      <c r="F7" s="11" t="n">
        <f aca="false">D7*(1+Premissas!$B$28)</f>
        <v>376234.826185154</v>
      </c>
    </row>
    <row r="8" customFormat="false" ht="15" hidden="false" customHeight="false" outlineLevel="0" collapsed="false">
      <c r="A8" s="8" t="s">
        <v>57</v>
      </c>
      <c r="B8" s="9" t="s">
        <v>58</v>
      </c>
      <c r="C8" s="10" t="n">
        <f aca="false">'A-Terceiros'!F25</f>
        <v>41046.7602383989</v>
      </c>
      <c r="D8" s="10" t="n">
        <f aca="false">'A-Terceiros'!G25</f>
        <v>754457.086212064</v>
      </c>
      <c r="E8" s="11" t="n">
        <f aca="false">D8/Estações!$O$43</f>
        <v>18861.4271553016</v>
      </c>
      <c r="F8" s="11" t="n">
        <f aca="false">D8*(1+Premissas!$B$28)</f>
        <v>829902.79483327</v>
      </c>
    </row>
    <row r="9" customFormat="false" ht="23.85" hidden="false" customHeight="false" outlineLevel="0" collapsed="false">
      <c r="A9" s="8" t="s">
        <v>59</v>
      </c>
      <c r="B9" s="9" t="s">
        <v>60</v>
      </c>
      <c r="C9" s="10" t="n">
        <f aca="false">'RFID-futuro'!F8</f>
        <v>1550.13612474438</v>
      </c>
      <c r="D9" s="10" t="n">
        <f aca="false">'RFID-futuro'!G8</f>
        <v>29016.8085562372</v>
      </c>
      <c r="E9" s="11" t="n">
        <f aca="false">D9/Estações!$O$43</f>
        <v>725.420213905931</v>
      </c>
      <c r="F9" s="11" t="n">
        <f aca="false">D9*(1+Premissas!$B$28)</f>
        <v>31918.4894118609</v>
      </c>
    </row>
    <row r="11" customFormat="false" ht="15" hidden="false" customHeight="false" outlineLevel="0" collapsed="false">
      <c r="A11" s="12" t="s">
        <v>61</v>
      </c>
    </row>
    <row r="12" customFormat="false" ht="15" hidden="false" customHeight="false" outlineLevel="0" collapsed="false">
      <c r="A12" s="8" t="s">
        <v>62</v>
      </c>
      <c r="B12" s="13" t="str">
        <f aca="false">"Horas: "&amp;TEXT(Software!C15,"#,##0")</f>
        <v>Horas: 1,144</v>
      </c>
      <c r="D12" s="10" t="n">
        <f aca="false">Software!D15</f>
        <v>118727.548466258</v>
      </c>
    </row>
    <row r="13" customFormat="false" ht="15" hidden="false" customHeight="false" outlineLevel="0" collapsed="false">
      <c r="A13" s="8" t="s">
        <v>63</v>
      </c>
      <c r="B13" s="13" t="str">
        <f aca="false">"Horas: "&amp;TEXT(Software!C16,"#,##0")</f>
        <v>Horas: 80</v>
      </c>
      <c r="D13" s="10" t="n">
        <f aca="false">Software!D16</f>
        <v>8302.62576687117</v>
      </c>
    </row>
    <row r="15" customFormat="false" ht="15" hidden="false" customHeight="false" outlineLevel="0" collapsed="false">
      <c r="A15" s="14" t="s">
        <v>64</v>
      </c>
      <c r="B15" s="15" t="s">
        <v>65</v>
      </c>
      <c r="C15" s="16"/>
      <c r="D15" s="16"/>
      <c r="E15" s="16"/>
      <c r="F15" s="17" t="n">
        <f aca="false">F6+D12</f>
        <v>477403.703900429</v>
      </c>
    </row>
    <row r="17" customFormat="false" ht="15" hidden="false" customHeight="false" outlineLevel="0" collapsed="false">
      <c r="A17" s="14" t="s">
        <v>66</v>
      </c>
      <c r="B17" s="15" t="s">
        <v>67</v>
      </c>
      <c r="C17" s="17" t="n">
        <f aca="false">POC!E29</f>
        <v>23397.3266210938</v>
      </c>
      <c r="D17" s="16"/>
      <c r="E17" s="16"/>
      <c r="F17" s="16"/>
    </row>
    <row r="19" customFormat="false" ht="15" hidden="false" customHeight="false" outlineLevel="0" collapsed="false">
      <c r="A19" s="6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5"/>
  </cols>
  <sheetData>
    <row r="1" customFormat="false" ht="31.5" hidden="false" customHeight="true" outlineLevel="0" collapsed="false">
      <c r="A1" s="7" t="s">
        <v>69</v>
      </c>
      <c r="B1" s="7" t="s">
        <v>70</v>
      </c>
      <c r="C1" s="7" t="s">
        <v>71</v>
      </c>
      <c r="D1" s="7" t="s">
        <v>72</v>
      </c>
    </row>
    <row r="2" customFormat="false" ht="15" hidden="false" customHeight="false" outlineLevel="0" collapsed="false">
      <c r="A2" s="13" t="s">
        <v>73</v>
      </c>
      <c r="B2" s="18" t="n">
        <v>5.0371</v>
      </c>
      <c r="C2" s="13" t="s">
        <v>74</v>
      </c>
      <c r="D2" s="9" t="s">
        <v>75</v>
      </c>
    </row>
    <row r="3" customFormat="false" ht="23.85" hidden="false" customHeight="false" outlineLevel="0" collapsed="false">
      <c r="A3" s="13" t="s">
        <v>76</v>
      </c>
      <c r="B3" s="19" t="n">
        <v>1.9</v>
      </c>
      <c r="C3" s="13" t="s">
        <v>77</v>
      </c>
      <c r="D3" s="9" t="s">
        <v>78</v>
      </c>
    </row>
    <row r="4" customFormat="false" ht="15" hidden="false" customHeight="false" outlineLevel="0" collapsed="false">
      <c r="A4" s="13" t="s">
        <v>79</v>
      </c>
      <c r="B4" s="18" t="n">
        <v>2846.84</v>
      </c>
      <c r="C4" s="13" t="s">
        <v>80</v>
      </c>
      <c r="D4" s="9" t="s">
        <v>81</v>
      </c>
    </row>
    <row r="5" customFormat="false" ht="15" hidden="false" customHeight="false" outlineLevel="0" collapsed="false">
      <c r="A5" s="13" t="s">
        <v>82</v>
      </c>
      <c r="B5" s="18" t="n">
        <v>8458.3</v>
      </c>
      <c r="C5" s="13" t="s">
        <v>80</v>
      </c>
      <c r="D5" s="9" t="s">
        <v>83</v>
      </c>
    </row>
    <row r="6" customFormat="false" ht="15" hidden="false" customHeight="false" outlineLevel="0" collapsed="false">
      <c r="A6" s="13" t="s">
        <v>84</v>
      </c>
      <c r="B6" s="18" t="n">
        <v>2009.59</v>
      </c>
      <c r="C6" s="13" t="s">
        <v>80</v>
      </c>
      <c r="D6" s="9" t="s">
        <v>85</v>
      </c>
    </row>
    <row r="7" customFormat="false" ht="15" hidden="false" customHeight="false" outlineLevel="0" collapsed="false">
      <c r="A7" s="13" t="s">
        <v>86</v>
      </c>
      <c r="B7" s="19" t="n">
        <v>2</v>
      </c>
      <c r="C7" s="13" t="s">
        <v>77</v>
      </c>
      <c r="D7" s="9" t="s">
        <v>87</v>
      </c>
    </row>
    <row r="8" customFormat="false" ht="15" hidden="false" customHeight="false" outlineLevel="0" collapsed="false">
      <c r="A8" s="13" t="s">
        <v>88</v>
      </c>
      <c r="B8" s="20" t="n">
        <v>163</v>
      </c>
      <c r="C8" s="13" t="s">
        <v>89</v>
      </c>
      <c r="D8" s="9" t="s">
        <v>90</v>
      </c>
    </row>
    <row r="9" customFormat="false" ht="15" hidden="false" customHeight="false" outlineLevel="0" collapsed="false">
      <c r="A9" s="13" t="s">
        <v>91</v>
      </c>
      <c r="B9" s="21" t="n">
        <f aca="false">$B$4*$B$7/$B$8</f>
        <v>34.9305521472393</v>
      </c>
      <c r="C9" s="13" t="s">
        <v>92</v>
      </c>
      <c r="D9" s="9" t="s">
        <v>93</v>
      </c>
    </row>
    <row r="10" customFormat="false" ht="15" hidden="false" customHeight="false" outlineLevel="0" collapsed="false">
      <c r="A10" s="13" t="s">
        <v>94</v>
      </c>
      <c r="B10" s="21" t="n">
        <f aca="false">$B$5*$B$7/$B$8</f>
        <v>103.78282208589</v>
      </c>
      <c r="C10" s="13" t="s">
        <v>92</v>
      </c>
      <c r="D10" s="9" t="s">
        <v>95</v>
      </c>
    </row>
    <row r="11" customFormat="false" ht="15" hidden="false" customHeight="false" outlineLevel="0" collapsed="false">
      <c r="A11" s="13" t="s">
        <v>96</v>
      </c>
      <c r="B11" s="21" t="n">
        <f aca="false">$B$6*$B$7/$B$8</f>
        <v>24.6575460122699</v>
      </c>
      <c r="C11" s="13" t="s">
        <v>92</v>
      </c>
      <c r="D11" s="9" t="s">
        <v>97</v>
      </c>
    </row>
    <row r="12" customFormat="false" ht="15" hidden="false" customHeight="false" outlineLevel="0" collapsed="false">
      <c r="A12" s="13" t="s">
        <v>98</v>
      </c>
      <c r="B12" s="19" t="n">
        <v>0.25</v>
      </c>
      <c r="C12" s="13" t="s">
        <v>99</v>
      </c>
      <c r="D12" s="9" t="s">
        <v>100</v>
      </c>
    </row>
    <row r="13" customFormat="false" ht="15" hidden="false" customHeight="false" outlineLevel="0" collapsed="false">
      <c r="A13" s="13" t="s">
        <v>101</v>
      </c>
      <c r="B13" s="19" t="n">
        <v>0.75</v>
      </c>
      <c r="C13" s="13" t="s">
        <v>99</v>
      </c>
      <c r="D13" s="9" t="s">
        <v>102</v>
      </c>
    </row>
    <row r="14" customFormat="false" ht="15" hidden="false" customHeight="false" outlineLevel="0" collapsed="false">
      <c r="A14" s="13" t="s">
        <v>103</v>
      </c>
      <c r="B14" s="19" t="n">
        <v>1</v>
      </c>
      <c r="C14" s="13" t="s">
        <v>99</v>
      </c>
      <c r="D14" s="9" t="s">
        <v>104</v>
      </c>
    </row>
    <row r="15" customFormat="false" ht="15" hidden="false" customHeight="false" outlineLevel="0" collapsed="false">
      <c r="A15" s="13" t="s">
        <v>105</v>
      </c>
      <c r="B15" s="19" t="n">
        <v>2</v>
      </c>
      <c r="C15" s="13" t="s">
        <v>99</v>
      </c>
      <c r="D15" s="9" t="s">
        <v>104</v>
      </c>
    </row>
    <row r="16" customFormat="false" ht="15" hidden="false" customHeight="false" outlineLevel="0" collapsed="false">
      <c r="A16" s="13" t="s">
        <v>106</v>
      </c>
      <c r="B16" s="20" t="n">
        <v>4</v>
      </c>
      <c r="C16" s="13" t="s">
        <v>107</v>
      </c>
      <c r="D16" s="9" t="s">
        <v>108</v>
      </c>
    </row>
    <row r="17" customFormat="false" ht="15" hidden="false" customHeight="false" outlineLevel="0" collapsed="false">
      <c r="A17" s="13" t="s">
        <v>109</v>
      </c>
      <c r="B17" s="19" t="n">
        <v>0.15</v>
      </c>
      <c r="C17" s="13" t="s">
        <v>99</v>
      </c>
      <c r="D17" s="9" t="s">
        <v>104</v>
      </c>
    </row>
    <row r="18" customFormat="false" ht="15" hidden="false" customHeight="false" outlineLevel="0" collapsed="false">
      <c r="A18" s="13" t="s">
        <v>110</v>
      </c>
      <c r="B18" s="19" t="n">
        <v>0.25</v>
      </c>
      <c r="C18" s="13" t="s">
        <v>99</v>
      </c>
      <c r="D18" s="9" t="s">
        <v>104</v>
      </c>
    </row>
    <row r="19" customFormat="false" ht="15" hidden="false" customHeight="false" outlineLevel="0" collapsed="false">
      <c r="A19" s="13" t="s">
        <v>111</v>
      </c>
      <c r="B19" s="19" t="n">
        <v>0.35</v>
      </c>
      <c r="C19" s="13" t="s">
        <v>99</v>
      </c>
      <c r="D19" s="9" t="s">
        <v>104</v>
      </c>
    </row>
    <row r="20" customFormat="false" ht="15" hidden="false" customHeight="false" outlineLevel="0" collapsed="false">
      <c r="A20" s="13" t="s">
        <v>112</v>
      </c>
      <c r="B20" s="19" t="n">
        <v>0.08</v>
      </c>
      <c r="C20" s="13" t="s">
        <v>113</v>
      </c>
      <c r="D20" s="9" t="s">
        <v>114</v>
      </c>
    </row>
    <row r="21" customFormat="false" ht="15" hidden="false" customHeight="false" outlineLevel="0" collapsed="false">
      <c r="A21" s="13" t="s">
        <v>115</v>
      </c>
      <c r="B21" s="20" t="n">
        <v>4</v>
      </c>
      <c r="C21" s="13" t="s">
        <v>107</v>
      </c>
      <c r="D21" s="9" t="s">
        <v>116</v>
      </c>
    </row>
    <row r="22" customFormat="false" ht="15" hidden="false" customHeight="false" outlineLevel="0" collapsed="false">
      <c r="A22" s="13" t="s">
        <v>117</v>
      </c>
      <c r="B22" s="19" t="n">
        <v>1.5</v>
      </c>
      <c r="C22" s="13" t="s">
        <v>77</v>
      </c>
      <c r="D22" s="9" t="s">
        <v>118</v>
      </c>
    </row>
    <row r="23" customFormat="false" ht="15" hidden="false" customHeight="false" outlineLevel="0" collapsed="false">
      <c r="A23" s="13" t="s">
        <v>119</v>
      </c>
      <c r="B23" s="20" t="n">
        <v>2</v>
      </c>
      <c r="C23" s="13" t="s">
        <v>120</v>
      </c>
      <c r="D23" s="9" t="s">
        <v>121</v>
      </c>
    </row>
    <row r="24" customFormat="false" ht="15" hidden="false" customHeight="false" outlineLevel="0" collapsed="false">
      <c r="A24" s="13" t="s">
        <v>122</v>
      </c>
      <c r="B24" s="20" t="n">
        <v>2</v>
      </c>
      <c r="C24" s="13" t="s">
        <v>89</v>
      </c>
      <c r="D24" s="9" t="s">
        <v>123</v>
      </c>
    </row>
    <row r="25" customFormat="false" ht="15" hidden="false" customHeight="false" outlineLevel="0" collapsed="false">
      <c r="A25" s="13" t="s">
        <v>124</v>
      </c>
      <c r="B25" s="20" t="n">
        <v>16</v>
      </c>
      <c r="C25" s="13" t="s">
        <v>89</v>
      </c>
      <c r="D25" s="9" t="s">
        <v>125</v>
      </c>
    </row>
    <row r="26" customFormat="false" ht="15" hidden="false" customHeight="false" outlineLevel="0" collapsed="false">
      <c r="A26" s="13" t="s">
        <v>126</v>
      </c>
      <c r="B26" s="22" t="n">
        <v>0.1</v>
      </c>
      <c r="C26" s="13" t="s">
        <v>127</v>
      </c>
      <c r="D26" s="9" t="s">
        <v>128</v>
      </c>
    </row>
    <row r="27" customFormat="false" ht="15" hidden="false" customHeight="false" outlineLevel="0" collapsed="false">
      <c r="A27" s="13" t="s">
        <v>129</v>
      </c>
      <c r="B27" s="22" t="n">
        <v>0.05</v>
      </c>
      <c r="C27" s="13" t="s">
        <v>127</v>
      </c>
      <c r="D27" s="9" t="s">
        <v>130</v>
      </c>
    </row>
    <row r="28" customFormat="false" ht="15" hidden="false" customHeight="false" outlineLevel="0" collapsed="false">
      <c r="A28" s="13" t="s">
        <v>131</v>
      </c>
      <c r="B28" s="22" t="n">
        <v>0.1</v>
      </c>
      <c r="C28" s="13" t="s">
        <v>127</v>
      </c>
      <c r="D28" s="9" t="s">
        <v>132</v>
      </c>
    </row>
    <row r="29" customFormat="false" ht="15" hidden="false" customHeight="false" outlineLevel="0" collapsed="false">
      <c r="A29" s="13" t="s">
        <v>133</v>
      </c>
      <c r="B29" s="20" t="n">
        <v>3</v>
      </c>
      <c r="C29" s="13" t="s">
        <v>134</v>
      </c>
      <c r="D29" s="9" t="s">
        <v>135</v>
      </c>
    </row>
    <row r="30" customFormat="false" ht="15" hidden="false" customHeight="false" outlineLevel="0" collapsed="false">
      <c r="A30" s="13" t="s">
        <v>136</v>
      </c>
      <c r="B30" s="20" t="n">
        <v>6</v>
      </c>
      <c r="C30" s="13" t="s">
        <v>134</v>
      </c>
      <c r="D30" s="9" t="s">
        <v>137</v>
      </c>
    </row>
    <row r="31" customFormat="false" ht="15" hidden="false" customHeight="false" outlineLevel="0" collapsed="false">
      <c r="A31" s="13" t="s">
        <v>138</v>
      </c>
      <c r="B31" s="19" t="n">
        <v>0.25</v>
      </c>
      <c r="C31" s="13" t="s">
        <v>134</v>
      </c>
      <c r="D31" s="9" t="s">
        <v>139</v>
      </c>
    </row>
    <row r="32" customFormat="false" ht="15" hidden="false" customHeight="false" outlineLevel="0" collapsed="false">
      <c r="A32" s="13" t="s">
        <v>140</v>
      </c>
      <c r="B32" s="20" t="n">
        <v>2</v>
      </c>
      <c r="C32" s="13" t="s">
        <v>141</v>
      </c>
      <c r="D32" s="9" t="s">
        <v>142</v>
      </c>
    </row>
    <row r="33" customFormat="false" ht="15" hidden="false" customHeight="false" outlineLevel="0" collapsed="false">
      <c r="A33" s="13" t="s">
        <v>143</v>
      </c>
      <c r="B33" s="19" t="n">
        <v>1.2</v>
      </c>
      <c r="C33" s="13" t="s">
        <v>134</v>
      </c>
      <c r="D33" s="9" t="s">
        <v>144</v>
      </c>
    </row>
    <row r="34" customFormat="false" ht="15" hidden="false" customHeight="false" outlineLevel="0" collapsed="false">
      <c r="A34" s="13" t="s">
        <v>145</v>
      </c>
      <c r="B34" s="19" t="n">
        <v>2</v>
      </c>
      <c r="C34" s="13" t="s">
        <v>134</v>
      </c>
      <c r="D34" s="9" t="s">
        <v>146</v>
      </c>
    </row>
    <row r="35" customFormat="false" ht="15" hidden="false" customHeight="false" outlineLevel="0" collapsed="false">
      <c r="A35" s="13" t="s">
        <v>147</v>
      </c>
      <c r="B35" s="20" t="n">
        <v>6</v>
      </c>
      <c r="C35" s="13" t="s">
        <v>134</v>
      </c>
      <c r="D35" s="9" t="s">
        <v>148</v>
      </c>
    </row>
    <row r="36" customFormat="false" ht="15" hidden="false" customHeight="false" outlineLevel="0" collapsed="false">
      <c r="A36" s="13" t="s">
        <v>149</v>
      </c>
      <c r="B36" s="20" t="n">
        <v>50</v>
      </c>
      <c r="C36" s="13" t="s">
        <v>134</v>
      </c>
      <c r="D36" s="9" t="s">
        <v>150</v>
      </c>
    </row>
    <row r="37" customFormat="false" ht="15" hidden="false" customHeight="false" outlineLevel="0" collapsed="false">
      <c r="A37" s="13" t="s">
        <v>151</v>
      </c>
      <c r="B37" s="20" t="n">
        <v>22</v>
      </c>
      <c r="C37" s="13" t="s">
        <v>152</v>
      </c>
      <c r="D37" s="9" t="s">
        <v>153</v>
      </c>
    </row>
    <row r="38" customFormat="false" ht="15" hidden="false" customHeight="false" outlineLevel="0" collapsed="false">
      <c r="A38" s="13" t="s">
        <v>154</v>
      </c>
      <c r="B38" s="20" t="n">
        <v>80</v>
      </c>
      <c r="C38" s="13" t="s">
        <v>134</v>
      </c>
      <c r="D38" s="9" t="s">
        <v>155</v>
      </c>
    </row>
    <row r="39" customFormat="false" ht="15" hidden="false" customHeight="false" outlineLevel="0" collapsed="false">
      <c r="A39" s="13" t="s">
        <v>156</v>
      </c>
      <c r="B39" s="22" t="n">
        <v>0.5</v>
      </c>
      <c r="C39" s="13" t="s">
        <v>127</v>
      </c>
      <c r="D39" s="9" t="s">
        <v>157</v>
      </c>
    </row>
    <row r="40" customFormat="false" ht="15" hidden="false" customHeight="false" outlineLevel="0" collapsed="false">
      <c r="A40" s="13" t="s">
        <v>158</v>
      </c>
      <c r="B40" s="20" t="n">
        <v>5000</v>
      </c>
      <c r="C40" s="13" t="s">
        <v>159</v>
      </c>
      <c r="D40" s="9" t="s">
        <v>160</v>
      </c>
    </row>
    <row r="41" customFormat="false" ht="15" hidden="false" customHeight="false" outlineLevel="0" collapsed="false">
      <c r="A41" s="13" t="s">
        <v>161</v>
      </c>
      <c r="B41" s="19" t="n">
        <v>2.2</v>
      </c>
      <c r="C41" s="13" t="s">
        <v>162</v>
      </c>
      <c r="D41" s="9" t="s">
        <v>163</v>
      </c>
    </row>
    <row r="42" customFormat="false" ht="15" hidden="false" customHeight="false" outlineLevel="0" collapsed="false">
      <c r="A42" s="13" t="s">
        <v>164</v>
      </c>
      <c r="B42" s="20" t="n">
        <v>30</v>
      </c>
      <c r="C42" s="13" t="s">
        <v>134</v>
      </c>
      <c r="D42" s="9" t="s">
        <v>165</v>
      </c>
    </row>
    <row r="43" customFormat="false" ht="15" hidden="false" customHeight="false" outlineLevel="0" collapsed="false">
      <c r="A43" s="13" t="s">
        <v>166</v>
      </c>
      <c r="B43" s="19" t="n">
        <v>1</v>
      </c>
      <c r="C43" s="13" t="s">
        <v>134</v>
      </c>
      <c r="D43" s="9" t="s">
        <v>167</v>
      </c>
    </row>
    <row r="44" customFormat="false" ht="15" hidden="false" customHeight="false" outlineLevel="0" collapsed="false">
      <c r="A44" s="13" t="s">
        <v>168</v>
      </c>
      <c r="B44" s="19" t="n">
        <v>0.1</v>
      </c>
      <c r="C44" s="13" t="s">
        <v>99</v>
      </c>
      <c r="D44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169</v>
      </c>
      <c r="B1" s="7" t="s">
        <v>170</v>
      </c>
      <c r="C1" s="7" t="s">
        <v>171</v>
      </c>
      <c r="D1" s="7" t="s">
        <v>172</v>
      </c>
      <c r="E1" s="7" t="s">
        <v>173</v>
      </c>
      <c r="F1" s="7" t="s">
        <v>174</v>
      </c>
      <c r="G1" s="7" t="s">
        <v>175</v>
      </c>
      <c r="H1" s="7" t="s">
        <v>176</v>
      </c>
      <c r="I1" s="7" t="s">
        <v>177</v>
      </c>
      <c r="J1" s="7" t="s">
        <v>178</v>
      </c>
      <c r="K1" s="7" t="s">
        <v>179</v>
      </c>
      <c r="L1" s="7" t="s">
        <v>180</v>
      </c>
      <c r="M1" s="7" t="s">
        <v>181</v>
      </c>
      <c r="N1" s="7" t="s">
        <v>182</v>
      </c>
      <c r="O1" s="7" t="s">
        <v>183</v>
      </c>
    </row>
    <row r="2" customFormat="false" ht="15" hidden="false" customHeight="false" outlineLevel="0" collapsed="false">
      <c r="A2" s="23" t="s">
        <v>184</v>
      </c>
      <c r="B2" s="23" t="s">
        <v>185</v>
      </c>
      <c r="C2" s="23" t="s">
        <v>186</v>
      </c>
      <c r="D2" s="24" t="s">
        <v>187</v>
      </c>
      <c r="E2" s="25" t="n">
        <v>131</v>
      </c>
      <c r="F2" s="25" t="n">
        <v>29</v>
      </c>
      <c r="G2" s="25" t="n">
        <v>20</v>
      </c>
      <c r="H2" s="25" t="n">
        <v>2</v>
      </c>
      <c r="I2" s="25" t="n">
        <v>82</v>
      </c>
      <c r="J2" s="25" t="n">
        <v>2</v>
      </c>
      <c r="K2" s="25" t="n">
        <v>10</v>
      </c>
      <c r="L2" s="25" t="n">
        <v>13</v>
      </c>
      <c r="M2" s="26" t="n">
        <f aca="false">H2+J2</f>
        <v>4</v>
      </c>
      <c r="N2" s="26" t="n">
        <f aca="false">K2+M2</f>
        <v>14</v>
      </c>
      <c r="O2" s="25" t="n">
        <v>1</v>
      </c>
    </row>
    <row r="3" customFormat="false" ht="15" hidden="false" customHeight="false" outlineLevel="0" collapsed="false">
      <c r="A3" s="23" t="s">
        <v>188</v>
      </c>
      <c r="B3" s="23" t="s">
        <v>185</v>
      </c>
      <c r="C3" s="23" t="s">
        <v>189</v>
      </c>
      <c r="D3" s="24" t="s">
        <v>190</v>
      </c>
      <c r="E3" s="25" t="n">
        <v>201</v>
      </c>
      <c r="F3" s="25" t="n">
        <v>29</v>
      </c>
      <c r="G3" s="25" t="n">
        <v>16</v>
      </c>
      <c r="H3" s="25" t="n">
        <v>2</v>
      </c>
      <c r="I3" s="25" t="n">
        <v>156</v>
      </c>
      <c r="J3" s="25" t="n">
        <v>4</v>
      </c>
      <c r="K3" s="25" t="n">
        <v>10</v>
      </c>
      <c r="L3" s="25" t="n">
        <v>24</v>
      </c>
      <c r="M3" s="26" t="n">
        <f aca="false">H3+J3</f>
        <v>6</v>
      </c>
      <c r="N3" s="26" t="n">
        <f aca="false">K3+M3</f>
        <v>16</v>
      </c>
      <c r="O3" s="25" t="n">
        <v>1</v>
      </c>
    </row>
    <row r="4" customFormat="false" ht="15" hidden="false" customHeight="false" outlineLevel="0" collapsed="false">
      <c r="A4" s="23" t="s">
        <v>191</v>
      </c>
      <c r="B4" s="23" t="s">
        <v>185</v>
      </c>
      <c r="C4" s="23" t="s">
        <v>189</v>
      </c>
      <c r="D4" s="24" t="s">
        <v>187</v>
      </c>
      <c r="E4" s="25" t="n">
        <v>209</v>
      </c>
      <c r="F4" s="25" t="n">
        <v>29</v>
      </c>
      <c r="G4" s="25" t="n">
        <v>20</v>
      </c>
      <c r="H4" s="25" t="n">
        <v>2</v>
      </c>
      <c r="I4" s="25" t="n">
        <v>160</v>
      </c>
      <c r="J4" s="25" t="n">
        <v>4</v>
      </c>
      <c r="K4" s="25" t="n">
        <v>10</v>
      </c>
      <c r="L4" s="25" t="n">
        <v>25</v>
      </c>
      <c r="M4" s="26" t="n">
        <f aca="false">H4+J4</f>
        <v>6</v>
      </c>
      <c r="N4" s="26" t="n">
        <f aca="false">K4+M4</f>
        <v>16</v>
      </c>
      <c r="O4" s="25" t="n">
        <v>1</v>
      </c>
    </row>
    <row r="5" customFormat="false" ht="15" hidden="false" customHeight="false" outlineLevel="0" collapsed="false">
      <c r="A5" s="23" t="s">
        <v>192</v>
      </c>
      <c r="B5" s="23" t="s">
        <v>185</v>
      </c>
      <c r="C5" s="23" t="s">
        <v>189</v>
      </c>
      <c r="D5" s="24" t="s">
        <v>187</v>
      </c>
      <c r="E5" s="25" t="n">
        <v>209</v>
      </c>
      <c r="F5" s="25" t="n">
        <v>29</v>
      </c>
      <c r="G5" s="25" t="n">
        <v>20</v>
      </c>
      <c r="H5" s="25" t="n">
        <v>2</v>
      </c>
      <c r="I5" s="25" t="n">
        <v>160</v>
      </c>
      <c r="J5" s="25" t="n">
        <v>4</v>
      </c>
      <c r="K5" s="25" t="n">
        <v>10</v>
      </c>
      <c r="L5" s="25" t="n">
        <v>25</v>
      </c>
      <c r="M5" s="26" t="n">
        <f aca="false">H5+J5</f>
        <v>6</v>
      </c>
      <c r="N5" s="26" t="n">
        <f aca="false">K5+M5</f>
        <v>16</v>
      </c>
      <c r="O5" s="25" t="n">
        <v>1</v>
      </c>
    </row>
    <row r="6" customFormat="false" ht="15" hidden="false" customHeight="false" outlineLevel="0" collapsed="false">
      <c r="A6" s="23" t="s">
        <v>193</v>
      </c>
      <c r="B6" s="23" t="s">
        <v>185</v>
      </c>
      <c r="C6" s="23" t="s">
        <v>189</v>
      </c>
      <c r="D6" s="24" t="s">
        <v>187</v>
      </c>
      <c r="E6" s="25" t="n">
        <v>209</v>
      </c>
      <c r="F6" s="25" t="n">
        <v>29</v>
      </c>
      <c r="G6" s="25" t="n">
        <v>20</v>
      </c>
      <c r="H6" s="25" t="n">
        <v>2</v>
      </c>
      <c r="I6" s="25" t="n">
        <v>160</v>
      </c>
      <c r="J6" s="25" t="n">
        <v>4</v>
      </c>
      <c r="K6" s="25" t="n">
        <v>10</v>
      </c>
      <c r="L6" s="25" t="n">
        <v>25</v>
      </c>
      <c r="M6" s="26" t="n">
        <f aca="false">H6+J6</f>
        <v>6</v>
      </c>
      <c r="N6" s="26" t="n">
        <f aca="false">K6+M6</f>
        <v>16</v>
      </c>
      <c r="O6" s="25" t="n">
        <v>1</v>
      </c>
    </row>
    <row r="7" customFormat="false" ht="15" hidden="false" customHeight="false" outlineLevel="0" collapsed="false">
      <c r="A7" s="23" t="s">
        <v>194</v>
      </c>
      <c r="B7" s="23" t="s">
        <v>185</v>
      </c>
      <c r="C7" s="23" t="s">
        <v>189</v>
      </c>
      <c r="D7" s="24" t="s">
        <v>187</v>
      </c>
      <c r="E7" s="25" t="n">
        <v>205</v>
      </c>
      <c r="F7" s="25" t="n">
        <v>29</v>
      </c>
      <c r="G7" s="25" t="n">
        <v>16</v>
      </c>
      <c r="H7" s="25" t="n">
        <v>2</v>
      </c>
      <c r="I7" s="25" t="n">
        <v>160</v>
      </c>
      <c r="J7" s="25" t="n">
        <v>4</v>
      </c>
      <c r="K7" s="25" t="n">
        <v>10</v>
      </c>
      <c r="L7" s="25" t="n">
        <v>25</v>
      </c>
      <c r="M7" s="26" t="n">
        <f aca="false">H7+J7</f>
        <v>6</v>
      </c>
      <c r="N7" s="26" t="n">
        <f aca="false">K7+M7</f>
        <v>16</v>
      </c>
      <c r="O7" s="25" t="n">
        <v>1</v>
      </c>
    </row>
    <row r="8" customFormat="false" ht="15" hidden="false" customHeight="false" outlineLevel="0" collapsed="false">
      <c r="A8" s="23" t="s">
        <v>195</v>
      </c>
      <c r="B8" s="23" t="s">
        <v>185</v>
      </c>
      <c r="C8" s="23" t="s">
        <v>196</v>
      </c>
      <c r="D8" s="24" t="s">
        <v>187</v>
      </c>
      <c r="E8" s="25" t="n">
        <v>241</v>
      </c>
      <c r="F8" s="25" t="n">
        <v>29</v>
      </c>
      <c r="G8" s="25" t="n">
        <v>20</v>
      </c>
      <c r="H8" s="25" t="n">
        <v>2</v>
      </c>
      <c r="I8" s="25" t="n">
        <v>192</v>
      </c>
      <c r="J8" s="25" t="n">
        <v>5</v>
      </c>
      <c r="K8" s="25" t="n">
        <v>10</v>
      </c>
      <c r="L8" s="25" t="n">
        <v>29</v>
      </c>
      <c r="M8" s="26" t="n">
        <f aca="false">H8+J8</f>
        <v>7</v>
      </c>
      <c r="N8" s="26" t="n">
        <f aca="false">K8+M8</f>
        <v>17</v>
      </c>
      <c r="O8" s="25" t="n">
        <v>1</v>
      </c>
    </row>
    <row r="9" customFormat="false" ht="15" hidden="false" customHeight="false" outlineLevel="0" collapsed="false">
      <c r="A9" s="23" t="s">
        <v>197</v>
      </c>
      <c r="B9" s="23" t="s">
        <v>185</v>
      </c>
      <c r="C9" s="23" t="s">
        <v>196</v>
      </c>
      <c r="D9" s="24" t="s">
        <v>187</v>
      </c>
      <c r="E9" s="25" t="n">
        <v>237</v>
      </c>
      <c r="F9" s="25" t="n">
        <v>29</v>
      </c>
      <c r="G9" s="25" t="n">
        <v>20</v>
      </c>
      <c r="H9" s="25" t="n">
        <v>2</v>
      </c>
      <c r="I9" s="25" t="n">
        <v>188</v>
      </c>
      <c r="J9" s="25" t="n">
        <v>5</v>
      </c>
      <c r="K9" s="25" t="n">
        <v>10</v>
      </c>
      <c r="L9" s="25" t="n">
        <v>29</v>
      </c>
      <c r="M9" s="26" t="n">
        <f aca="false">H9+J9</f>
        <v>7</v>
      </c>
      <c r="N9" s="26" t="n">
        <f aca="false">K9+M9</f>
        <v>17</v>
      </c>
      <c r="O9" s="25" t="n">
        <v>1</v>
      </c>
    </row>
    <row r="10" customFormat="false" ht="15" hidden="false" customHeight="false" outlineLevel="0" collapsed="false">
      <c r="A10" s="23" t="s">
        <v>198</v>
      </c>
      <c r="B10" s="23" t="s">
        <v>185</v>
      </c>
      <c r="C10" s="23" t="s">
        <v>189</v>
      </c>
      <c r="D10" s="24" t="s">
        <v>187</v>
      </c>
      <c r="E10" s="25" t="n">
        <v>205</v>
      </c>
      <c r="F10" s="25" t="n">
        <v>29</v>
      </c>
      <c r="G10" s="25" t="n">
        <v>16</v>
      </c>
      <c r="H10" s="25" t="n">
        <v>2</v>
      </c>
      <c r="I10" s="25" t="n">
        <v>160</v>
      </c>
      <c r="J10" s="25" t="n">
        <v>4</v>
      </c>
      <c r="K10" s="25" t="n">
        <v>10</v>
      </c>
      <c r="L10" s="25" t="n">
        <v>25</v>
      </c>
      <c r="M10" s="26" t="n">
        <f aca="false">H10+J10</f>
        <v>6</v>
      </c>
      <c r="N10" s="26" t="n">
        <f aca="false">K10+M10</f>
        <v>16</v>
      </c>
      <c r="O10" s="25" t="n">
        <v>1</v>
      </c>
    </row>
    <row r="11" customFormat="false" ht="15" hidden="false" customHeight="false" outlineLevel="0" collapsed="false">
      <c r="A11" s="23" t="s">
        <v>199</v>
      </c>
      <c r="B11" s="23" t="s">
        <v>185</v>
      </c>
      <c r="C11" s="23" t="s">
        <v>189</v>
      </c>
      <c r="D11" s="24" t="s">
        <v>187</v>
      </c>
      <c r="E11" s="25" t="n">
        <v>209</v>
      </c>
      <c r="F11" s="25" t="n">
        <v>29</v>
      </c>
      <c r="G11" s="25" t="n">
        <v>20</v>
      </c>
      <c r="H11" s="25" t="n">
        <v>2</v>
      </c>
      <c r="I11" s="25" t="n">
        <v>160</v>
      </c>
      <c r="J11" s="25" t="n">
        <v>4</v>
      </c>
      <c r="K11" s="25" t="n">
        <v>10</v>
      </c>
      <c r="L11" s="25" t="n">
        <v>25</v>
      </c>
      <c r="M11" s="26" t="n">
        <f aca="false">H11+J11</f>
        <v>6</v>
      </c>
      <c r="N11" s="26" t="n">
        <f aca="false">K11+M11</f>
        <v>16</v>
      </c>
      <c r="O11" s="25" t="n">
        <v>1</v>
      </c>
    </row>
    <row r="12" customFormat="false" ht="15" hidden="false" customHeight="false" outlineLevel="0" collapsed="false">
      <c r="A12" s="23" t="s">
        <v>200</v>
      </c>
      <c r="B12" s="23" t="s">
        <v>185</v>
      </c>
      <c r="C12" s="23" t="s">
        <v>189</v>
      </c>
      <c r="D12" s="24" t="s">
        <v>187</v>
      </c>
      <c r="E12" s="25" t="n">
        <v>203</v>
      </c>
      <c r="F12" s="25" t="n">
        <v>29</v>
      </c>
      <c r="G12" s="25" t="n">
        <v>14</v>
      </c>
      <c r="H12" s="25" t="n">
        <v>2</v>
      </c>
      <c r="I12" s="25" t="n">
        <v>160</v>
      </c>
      <c r="J12" s="25" t="n">
        <v>4</v>
      </c>
      <c r="K12" s="25" t="n">
        <v>10</v>
      </c>
      <c r="L12" s="25" t="n">
        <v>25</v>
      </c>
      <c r="M12" s="26" t="n">
        <f aca="false">H12+J12</f>
        <v>6</v>
      </c>
      <c r="N12" s="26" t="n">
        <f aca="false">K12+M12</f>
        <v>16</v>
      </c>
      <c r="O12" s="25" t="n">
        <v>1</v>
      </c>
    </row>
    <row r="13" customFormat="false" ht="15" hidden="false" customHeight="false" outlineLevel="0" collapsed="false">
      <c r="A13" s="23" t="s">
        <v>201</v>
      </c>
      <c r="B13" s="23" t="s">
        <v>185</v>
      </c>
      <c r="C13" s="23" t="s">
        <v>189</v>
      </c>
      <c r="D13" s="24" t="s">
        <v>187</v>
      </c>
      <c r="E13" s="25" t="n">
        <v>209</v>
      </c>
      <c r="F13" s="25" t="n">
        <v>29</v>
      </c>
      <c r="G13" s="25" t="n">
        <v>20</v>
      </c>
      <c r="H13" s="25" t="n">
        <v>2</v>
      </c>
      <c r="I13" s="25" t="n">
        <v>160</v>
      </c>
      <c r="J13" s="25" t="n">
        <v>4</v>
      </c>
      <c r="K13" s="25" t="n">
        <v>10</v>
      </c>
      <c r="L13" s="25" t="n">
        <v>25</v>
      </c>
      <c r="M13" s="26" t="n">
        <f aca="false">H13+J13</f>
        <v>6</v>
      </c>
      <c r="N13" s="26" t="n">
        <f aca="false">K13+M13</f>
        <v>16</v>
      </c>
      <c r="O13" s="25" t="n">
        <v>1</v>
      </c>
    </row>
    <row r="14" customFormat="false" ht="15" hidden="false" customHeight="false" outlineLevel="0" collapsed="false">
      <c r="A14" s="23" t="s">
        <v>202</v>
      </c>
      <c r="B14" s="23" t="s">
        <v>185</v>
      </c>
      <c r="C14" s="23" t="s">
        <v>196</v>
      </c>
      <c r="D14" s="24" t="s">
        <v>187</v>
      </c>
      <c r="E14" s="25" t="n">
        <v>231</v>
      </c>
      <c r="F14" s="25" t="n">
        <v>29</v>
      </c>
      <c r="G14" s="25" t="n">
        <v>10</v>
      </c>
      <c r="H14" s="25" t="n">
        <v>2</v>
      </c>
      <c r="I14" s="25" t="n">
        <v>192</v>
      </c>
      <c r="J14" s="25" t="n">
        <v>5</v>
      </c>
      <c r="K14" s="25" t="n">
        <v>10</v>
      </c>
      <c r="L14" s="25" t="n">
        <v>29</v>
      </c>
      <c r="M14" s="26" t="n">
        <f aca="false">H14+J14</f>
        <v>7</v>
      </c>
      <c r="N14" s="26" t="n">
        <f aca="false">K14+M14</f>
        <v>17</v>
      </c>
      <c r="O14" s="25" t="n">
        <v>1</v>
      </c>
    </row>
    <row r="15" customFormat="false" ht="15" hidden="false" customHeight="false" outlineLevel="0" collapsed="false">
      <c r="A15" s="23" t="s">
        <v>203</v>
      </c>
      <c r="B15" s="23" t="s">
        <v>185</v>
      </c>
      <c r="C15" s="23" t="s">
        <v>196</v>
      </c>
      <c r="D15" s="24" t="s">
        <v>187</v>
      </c>
      <c r="E15" s="25" t="n">
        <v>237</v>
      </c>
      <c r="F15" s="25" t="n">
        <v>29</v>
      </c>
      <c r="G15" s="25" t="n">
        <v>20</v>
      </c>
      <c r="H15" s="25" t="n">
        <v>2</v>
      </c>
      <c r="I15" s="25" t="n">
        <v>188</v>
      </c>
      <c r="J15" s="25" t="n">
        <v>5</v>
      </c>
      <c r="K15" s="25" t="n">
        <v>10</v>
      </c>
      <c r="L15" s="25" t="n">
        <v>29</v>
      </c>
      <c r="M15" s="26" t="n">
        <f aca="false">H15+J15</f>
        <v>7</v>
      </c>
      <c r="N15" s="26" t="n">
        <f aca="false">K15+M15</f>
        <v>17</v>
      </c>
      <c r="O15" s="25" t="n">
        <v>1</v>
      </c>
    </row>
    <row r="16" customFormat="false" ht="15" hidden="false" customHeight="false" outlineLevel="0" collapsed="false">
      <c r="A16" s="23" t="s">
        <v>204</v>
      </c>
      <c r="B16" s="23" t="s">
        <v>185</v>
      </c>
      <c r="C16" s="23" t="s">
        <v>189</v>
      </c>
      <c r="D16" s="24" t="s">
        <v>187</v>
      </c>
      <c r="E16" s="25" t="n">
        <v>205</v>
      </c>
      <c r="F16" s="25" t="n">
        <v>29</v>
      </c>
      <c r="G16" s="25" t="n">
        <v>16</v>
      </c>
      <c r="H16" s="25" t="n">
        <v>2</v>
      </c>
      <c r="I16" s="25" t="n">
        <v>160</v>
      </c>
      <c r="J16" s="25" t="n">
        <v>4</v>
      </c>
      <c r="K16" s="25" t="n">
        <v>10</v>
      </c>
      <c r="L16" s="25" t="n">
        <v>25</v>
      </c>
      <c r="M16" s="26" t="n">
        <f aca="false">H16+J16</f>
        <v>6</v>
      </c>
      <c r="N16" s="26" t="n">
        <f aca="false">K16+M16</f>
        <v>16</v>
      </c>
      <c r="O16" s="25" t="n">
        <v>1</v>
      </c>
    </row>
    <row r="17" customFormat="false" ht="15" hidden="false" customHeight="false" outlineLevel="0" collapsed="false">
      <c r="A17" s="23" t="s">
        <v>205</v>
      </c>
      <c r="B17" s="23" t="s">
        <v>185</v>
      </c>
      <c r="C17" s="23" t="s">
        <v>189</v>
      </c>
      <c r="D17" s="24" t="s">
        <v>187</v>
      </c>
      <c r="E17" s="25" t="n">
        <v>209</v>
      </c>
      <c r="F17" s="25" t="n">
        <v>29</v>
      </c>
      <c r="G17" s="25" t="n">
        <v>20</v>
      </c>
      <c r="H17" s="25" t="n">
        <v>2</v>
      </c>
      <c r="I17" s="25" t="n">
        <v>160</v>
      </c>
      <c r="J17" s="25" t="n">
        <v>4</v>
      </c>
      <c r="K17" s="25" t="n">
        <v>10</v>
      </c>
      <c r="L17" s="25" t="n">
        <v>25</v>
      </c>
      <c r="M17" s="26" t="n">
        <f aca="false">H17+J17</f>
        <v>6</v>
      </c>
      <c r="N17" s="26" t="n">
        <f aca="false">K17+M17</f>
        <v>16</v>
      </c>
      <c r="O17" s="25" t="n">
        <v>1</v>
      </c>
    </row>
    <row r="18" customFormat="false" ht="15" hidden="false" customHeight="false" outlineLevel="0" collapsed="false">
      <c r="A18" s="23" t="s">
        <v>206</v>
      </c>
      <c r="B18" s="23" t="s">
        <v>185</v>
      </c>
      <c r="C18" s="23" t="s">
        <v>189</v>
      </c>
      <c r="D18" s="24" t="s">
        <v>187</v>
      </c>
      <c r="E18" s="25" t="n">
        <v>203</v>
      </c>
      <c r="F18" s="25" t="n">
        <v>29</v>
      </c>
      <c r="G18" s="25" t="n">
        <v>14</v>
      </c>
      <c r="H18" s="25" t="n">
        <v>2</v>
      </c>
      <c r="I18" s="25" t="n">
        <v>160</v>
      </c>
      <c r="J18" s="25" t="n">
        <v>4</v>
      </c>
      <c r="K18" s="25" t="n">
        <v>10</v>
      </c>
      <c r="L18" s="25" t="n">
        <v>25</v>
      </c>
      <c r="M18" s="26" t="n">
        <f aca="false">H18+J18</f>
        <v>6</v>
      </c>
      <c r="N18" s="26" t="n">
        <f aca="false">K18+M18</f>
        <v>16</v>
      </c>
      <c r="O18" s="25" t="n">
        <v>1</v>
      </c>
    </row>
    <row r="19" customFormat="false" ht="15" hidden="false" customHeight="false" outlineLevel="0" collapsed="false">
      <c r="A19" s="23" t="s">
        <v>207</v>
      </c>
      <c r="B19" s="23" t="s">
        <v>185</v>
      </c>
      <c r="C19" s="23" t="s">
        <v>189</v>
      </c>
      <c r="D19" s="24" t="s">
        <v>187</v>
      </c>
      <c r="E19" s="25" t="n">
        <v>209</v>
      </c>
      <c r="F19" s="25" t="n">
        <v>29</v>
      </c>
      <c r="G19" s="25" t="n">
        <v>20</v>
      </c>
      <c r="H19" s="25" t="n">
        <v>2</v>
      </c>
      <c r="I19" s="25" t="n">
        <v>160</v>
      </c>
      <c r="J19" s="25" t="n">
        <v>4</v>
      </c>
      <c r="K19" s="25" t="n">
        <v>10</v>
      </c>
      <c r="L19" s="25" t="n">
        <v>25</v>
      </c>
      <c r="M19" s="26" t="n">
        <f aca="false">H19+J19</f>
        <v>6</v>
      </c>
      <c r="N19" s="26" t="n">
        <f aca="false">K19+M19</f>
        <v>16</v>
      </c>
      <c r="O19" s="25" t="n">
        <v>1</v>
      </c>
    </row>
    <row r="20" customFormat="false" ht="15" hidden="false" customHeight="false" outlineLevel="0" collapsed="false">
      <c r="A20" s="23" t="s">
        <v>208</v>
      </c>
      <c r="B20" s="23" t="s">
        <v>185</v>
      </c>
      <c r="C20" s="23" t="s">
        <v>189</v>
      </c>
      <c r="D20" s="24" t="s">
        <v>187</v>
      </c>
      <c r="E20" s="25" t="n">
        <v>199</v>
      </c>
      <c r="F20" s="25" t="n">
        <v>29</v>
      </c>
      <c r="G20" s="25" t="n">
        <v>10</v>
      </c>
      <c r="H20" s="25" t="n">
        <v>2</v>
      </c>
      <c r="I20" s="25" t="n">
        <v>160</v>
      </c>
      <c r="J20" s="25" t="n">
        <v>4</v>
      </c>
      <c r="K20" s="25" t="n">
        <v>10</v>
      </c>
      <c r="L20" s="25" t="n">
        <v>25</v>
      </c>
      <c r="M20" s="26" t="n">
        <f aca="false">H20+J20</f>
        <v>6</v>
      </c>
      <c r="N20" s="26" t="n">
        <f aca="false">K20+M20</f>
        <v>16</v>
      </c>
      <c r="O20" s="25" t="n">
        <v>1</v>
      </c>
    </row>
    <row r="21" customFormat="false" ht="15" hidden="false" customHeight="false" outlineLevel="0" collapsed="false">
      <c r="A21" s="23" t="s">
        <v>209</v>
      </c>
      <c r="B21" s="23" t="s">
        <v>185</v>
      </c>
      <c r="C21" s="23" t="s">
        <v>186</v>
      </c>
      <c r="D21" s="24" t="s">
        <v>187</v>
      </c>
      <c r="E21" s="25" t="n">
        <v>43</v>
      </c>
      <c r="F21" s="25" t="n">
        <v>29</v>
      </c>
      <c r="G21" s="25" t="n">
        <v>10</v>
      </c>
      <c r="H21" s="25" t="n">
        <v>2</v>
      </c>
      <c r="I21" s="25" t="n">
        <v>4</v>
      </c>
      <c r="J21" s="25" t="n">
        <v>1</v>
      </c>
      <c r="K21" s="25" t="n">
        <v>10</v>
      </c>
      <c r="L21" s="25" t="n">
        <v>1</v>
      </c>
      <c r="M21" s="26" t="n">
        <f aca="false">H21+J21</f>
        <v>3</v>
      </c>
      <c r="N21" s="26" t="n">
        <f aca="false">K21+M21</f>
        <v>13</v>
      </c>
      <c r="O21" s="25" t="n">
        <v>1</v>
      </c>
    </row>
    <row r="22" customFormat="false" ht="15" hidden="false" customHeight="false" outlineLevel="0" collapsed="false">
      <c r="A22" s="23" t="s">
        <v>210</v>
      </c>
      <c r="B22" s="23" t="s">
        <v>211</v>
      </c>
      <c r="C22" s="23" t="s">
        <v>186</v>
      </c>
      <c r="D22" s="24" t="s">
        <v>187</v>
      </c>
      <c r="E22" s="25" t="n">
        <v>176</v>
      </c>
      <c r="F22" s="25" t="n">
        <v>35</v>
      </c>
      <c r="G22" s="25" t="n">
        <v>13</v>
      </c>
      <c r="H22" s="25" t="n">
        <v>2</v>
      </c>
      <c r="I22" s="25" t="n">
        <v>128</v>
      </c>
      <c r="J22" s="25" t="n">
        <v>4</v>
      </c>
      <c r="K22" s="25" t="n">
        <v>10</v>
      </c>
      <c r="L22" s="25" t="n">
        <v>24</v>
      </c>
      <c r="M22" s="26" t="n">
        <f aca="false">H22+J22</f>
        <v>6</v>
      </c>
      <c r="N22" s="26" t="n">
        <f aca="false">K22+M22</f>
        <v>16</v>
      </c>
      <c r="O22" s="25" t="n">
        <v>1</v>
      </c>
    </row>
    <row r="23" customFormat="false" ht="15" hidden="false" customHeight="false" outlineLevel="0" collapsed="false">
      <c r="A23" s="23" t="s">
        <v>212</v>
      </c>
      <c r="B23" s="23" t="s">
        <v>211</v>
      </c>
      <c r="C23" s="23" t="s">
        <v>189</v>
      </c>
      <c r="D23" s="24" t="s">
        <v>190</v>
      </c>
      <c r="E23" s="25" t="n">
        <v>181</v>
      </c>
      <c r="F23" s="25" t="n">
        <v>35</v>
      </c>
      <c r="G23" s="25" t="n">
        <v>15</v>
      </c>
      <c r="H23" s="25" t="n">
        <v>2</v>
      </c>
      <c r="I23" s="25" t="n">
        <v>131</v>
      </c>
      <c r="J23" s="25" t="n">
        <v>4</v>
      </c>
      <c r="K23" s="25" t="n">
        <v>10</v>
      </c>
      <c r="L23" s="25" t="n">
        <v>25</v>
      </c>
      <c r="M23" s="26" t="n">
        <f aca="false">H23+J23</f>
        <v>6</v>
      </c>
      <c r="N23" s="26" t="n">
        <f aca="false">K23+M23</f>
        <v>16</v>
      </c>
      <c r="O23" s="25" t="n">
        <v>1</v>
      </c>
    </row>
    <row r="24" customFormat="false" ht="15" hidden="false" customHeight="false" outlineLevel="0" collapsed="false">
      <c r="A24" s="23" t="s">
        <v>213</v>
      </c>
      <c r="B24" s="23" t="s">
        <v>211</v>
      </c>
      <c r="C24" s="23" t="s">
        <v>189</v>
      </c>
      <c r="D24" s="24" t="s">
        <v>187</v>
      </c>
      <c r="E24" s="25" t="n">
        <v>181</v>
      </c>
      <c r="F24" s="25" t="n">
        <v>35</v>
      </c>
      <c r="G24" s="25" t="n">
        <v>15</v>
      </c>
      <c r="H24" s="25" t="n">
        <v>2</v>
      </c>
      <c r="I24" s="25" t="n">
        <v>131</v>
      </c>
      <c r="J24" s="25" t="n">
        <v>4</v>
      </c>
      <c r="K24" s="25" t="n">
        <v>10</v>
      </c>
      <c r="L24" s="25" t="n">
        <v>25</v>
      </c>
      <c r="M24" s="26" t="n">
        <f aca="false">H24+J24</f>
        <v>6</v>
      </c>
      <c r="N24" s="26" t="n">
        <f aca="false">K24+M24</f>
        <v>16</v>
      </c>
      <c r="O24" s="25" t="n">
        <v>1</v>
      </c>
    </row>
    <row r="25" customFormat="false" ht="15" hidden="false" customHeight="false" outlineLevel="0" collapsed="false">
      <c r="A25" s="23" t="s">
        <v>214</v>
      </c>
      <c r="B25" s="23" t="s">
        <v>211</v>
      </c>
      <c r="C25" s="23" t="s">
        <v>189</v>
      </c>
      <c r="D25" s="24" t="s">
        <v>187</v>
      </c>
      <c r="E25" s="25" t="n">
        <v>181</v>
      </c>
      <c r="F25" s="25" t="n">
        <v>35</v>
      </c>
      <c r="G25" s="25" t="n">
        <v>15</v>
      </c>
      <c r="H25" s="25" t="n">
        <v>2</v>
      </c>
      <c r="I25" s="25" t="n">
        <v>131</v>
      </c>
      <c r="J25" s="25" t="n">
        <v>4</v>
      </c>
      <c r="K25" s="25" t="n">
        <v>10</v>
      </c>
      <c r="L25" s="25" t="n">
        <v>25</v>
      </c>
      <c r="M25" s="26" t="n">
        <f aca="false">H25+J25</f>
        <v>6</v>
      </c>
      <c r="N25" s="26" t="n">
        <f aca="false">K25+M25</f>
        <v>16</v>
      </c>
      <c r="O25" s="25" t="n">
        <v>1</v>
      </c>
    </row>
    <row r="26" customFormat="false" ht="15" hidden="false" customHeight="false" outlineLevel="0" collapsed="false">
      <c r="A26" s="23" t="s">
        <v>215</v>
      </c>
      <c r="B26" s="23" t="s">
        <v>211</v>
      </c>
      <c r="C26" s="23" t="s">
        <v>189</v>
      </c>
      <c r="D26" s="24" t="s">
        <v>187</v>
      </c>
      <c r="E26" s="25" t="n">
        <v>179</v>
      </c>
      <c r="F26" s="25" t="n">
        <v>35</v>
      </c>
      <c r="G26" s="25" t="n">
        <v>13</v>
      </c>
      <c r="H26" s="25" t="n">
        <v>2</v>
      </c>
      <c r="I26" s="25" t="n">
        <v>131</v>
      </c>
      <c r="J26" s="25" t="n">
        <v>4</v>
      </c>
      <c r="K26" s="25" t="n">
        <v>10</v>
      </c>
      <c r="L26" s="25" t="n">
        <v>25</v>
      </c>
      <c r="M26" s="26" t="n">
        <f aca="false">H26+J26</f>
        <v>6</v>
      </c>
      <c r="N26" s="26" t="n">
        <f aca="false">K26+M26</f>
        <v>16</v>
      </c>
      <c r="O26" s="25" t="n">
        <v>1</v>
      </c>
    </row>
    <row r="27" customFormat="false" ht="15" hidden="false" customHeight="false" outlineLevel="0" collapsed="false">
      <c r="A27" s="23" t="s">
        <v>216</v>
      </c>
      <c r="B27" s="23" t="s">
        <v>211</v>
      </c>
      <c r="C27" s="23" t="s">
        <v>189</v>
      </c>
      <c r="D27" s="24" t="s">
        <v>187</v>
      </c>
      <c r="E27" s="25" t="n">
        <v>181</v>
      </c>
      <c r="F27" s="25" t="n">
        <v>35</v>
      </c>
      <c r="G27" s="25" t="n">
        <v>15</v>
      </c>
      <c r="H27" s="25" t="n">
        <v>2</v>
      </c>
      <c r="I27" s="25" t="n">
        <v>131</v>
      </c>
      <c r="J27" s="25" t="n">
        <v>4</v>
      </c>
      <c r="K27" s="25" t="n">
        <v>10</v>
      </c>
      <c r="L27" s="25" t="n">
        <v>25</v>
      </c>
      <c r="M27" s="26" t="n">
        <f aca="false">H27+J27</f>
        <v>6</v>
      </c>
      <c r="N27" s="26" t="n">
        <f aca="false">K27+M27</f>
        <v>16</v>
      </c>
      <c r="O27" s="25" t="n">
        <v>1</v>
      </c>
    </row>
    <row r="28" customFormat="false" ht="15" hidden="false" customHeight="false" outlineLevel="0" collapsed="false">
      <c r="A28" s="23" t="s">
        <v>217</v>
      </c>
      <c r="B28" s="23" t="s">
        <v>211</v>
      </c>
      <c r="C28" s="23" t="s">
        <v>196</v>
      </c>
      <c r="D28" s="24" t="s">
        <v>187</v>
      </c>
      <c r="E28" s="25" t="n">
        <v>280</v>
      </c>
      <c r="F28" s="25" t="n">
        <v>35</v>
      </c>
      <c r="G28" s="25" t="n">
        <v>15</v>
      </c>
      <c r="H28" s="25" t="n">
        <v>2</v>
      </c>
      <c r="I28" s="25" t="n">
        <v>230</v>
      </c>
      <c r="J28" s="25" t="n">
        <v>7</v>
      </c>
      <c r="K28" s="25" t="n">
        <v>10</v>
      </c>
      <c r="L28" s="25" t="n">
        <v>37</v>
      </c>
      <c r="M28" s="26" t="n">
        <f aca="false">H28+J28</f>
        <v>9</v>
      </c>
      <c r="N28" s="26" t="n">
        <f aca="false">K28+M28</f>
        <v>19</v>
      </c>
      <c r="O28" s="25" t="n">
        <v>1</v>
      </c>
    </row>
    <row r="29" customFormat="false" ht="15" hidden="false" customHeight="false" outlineLevel="0" collapsed="false">
      <c r="A29" s="23" t="s">
        <v>218</v>
      </c>
      <c r="B29" s="23" t="s">
        <v>211</v>
      </c>
      <c r="C29" s="23" t="s">
        <v>196</v>
      </c>
      <c r="D29" s="24" t="s">
        <v>187</v>
      </c>
      <c r="E29" s="25" t="n">
        <v>277</v>
      </c>
      <c r="F29" s="25" t="n">
        <v>35</v>
      </c>
      <c r="G29" s="25" t="n">
        <v>15</v>
      </c>
      <c r="H29" s="25" t="n">
        <v>2</v>
      </c>
      <c r="I29" s="25" t="n">
        <v>227</v>
      </c>
      <c r="J29" s="25" t="n">
        <v>7</v>
      </c>
      <c r="K29" s="25" t="n">
        <v>10</v>
      </c>
      <c r="L29" s="25" t="n">
        <v>37</v>
      </c>
      <c r="M29" s="26" t="n">
        <f aca="false">H29+J29</f>
        <v>9</v>
      </c>
      <c r="N29" s="26" t="n">
        <f aca="false">K29+M29</f>
        <v>19</v>
      </c>
      <c r="O29" s="25" t="n">
        <v>1</v>
      </c>
    </row>
    <row r="30" customFormat="false" ht="15" hidden="false" customHeight="false" outlineLevel="0" collapsed="false">
      <c r="A30" s="23" t="s">
        <v>219</v>
      </c>
      <c r="B30" s="23" t="s">
        <v>211</v>
      </c>
      <c r="C30" s="23" t="s">
        <v>189</v>
      </c>
      <c r="D30" s="24" t="s">
        <v>187</v>
      </c>
      <c r="E30" s="25" t="n">
        <v>179</v>
      </c>
      <c r="F30" s="25" t="n">
        <v>35</v>
      </c>
      <c r="G30" s="25" t="n">
        <v>13</v>
      </c>
      <c r="H30" s="25" t="n">
        <v>2</v>
      </c>
      <c r="I30" s="25" t="n">
        <v>131</v>
      </c>
      <c r="J30" s="25" t="n">
        <v>4</v>
      </c>
      <c r="K30" s="25" t="n">
        <v>10</v>
      </c>
      <c r="L30" s="25" t="n">
        <v>25</v>
      </c>
      <c r="M30" s="26" t="n">
        <f aca="false">H30+J30</f>
        <v>6</v>
      </c>
      <c r="N30" s="26" t="n">
        <f aca="false">K30+M30</f>
        <v>16</v>
      </c>
      <c r="O30" s="25" t="n">
        <v>1</v>
      </c>
    </row>
    <row r="31" customFormat="false" ht="15" hidden="false" customHeight="false" outlineLevel="0" collapsed="false">
      <c r="A31" s="23" t="s">
        <v>220</v>
      </c>
      <c r="B31" s="23" t="s">
        <v>211</v>
      </c>
      <c r="C31" s="23" t="s">
        <v>189</v>
      </c>
      <c r="D31" s="24" t="s">
        <v>187</v>
      </c>
      <c r="E31" s="25" t="n">
        <v>181</v>
      </c>
      <c r="F31" s="25" t="n">
        <v>35</v>
      </c>
      <c r="G31" s="25" t="n">
        <v>15</v>
      </c>
      <c r="H31" s="25" t="n">
        <v>2</v>
      </c>
      <c r="I31" s="25" t="n">
        <v>131</v>
      </c>
      <c r="J31" s="25" t="n">
        <v>4</v>
      </c>
      <c r="K31" s="25" t="n">
        <v>10</v>
      </c>
      <c r="L31" s="25" t="n">
        <v>25</v>
      </c>
      <c r="M31" s="26" t="n">
        <f aca="false">H31+J31</f>
        <v>6</v>
      </c>
      <c r="N31" s="26" t="n">
        <f aca="false">K31+M31</f>
        <v>16</v>
      </c>
      <c r="O31" s="25" t="n">
        <v>1</v>
      </c>
    </row>
    <row r="32" customFormat="false" ht="15" hidden="false" customHeight="false" outlineLevel="0" collapsed="false">
      <c r="A32" s="23" t="s">
        <v>221</v>
      </c>
      <c r="B32" s="23" t="s">
        <v>211</v>
      </c>
      <c r="C32" s="23" t="s">
        <v>189</v>
      </c>
      <c r="D32" s="24" t="s">
        <v>187</v>
      </c>
      <c r="E32" s="25" t="n">
        <v>177</v>
      </c>
      <c r="F32" s="25" t="n">
        <v>35</v>
      </c>
      <c r="G32" s="25" t="n">
        <v>11</v>
      </c>
      <c r="H32" s="25" t="n">
        <v>2</v>
      </c>
      <c r="I32" s="25" t="n">
        <v>131</v>
      </c>
      <c r="J32" s="25" t="n">
        <v>4</v>
      </c>
      <c r="K32" s="25" t="n">
        <v>10</v>
      </c>
      <c r="L32" s="25" t="n">
        <v>25</v>
      </c>
      <c r="M32" s="26" t="n">
        <f aca="false">H32+J32</f>
        <v>6</v>
      </c>
      <c r="N32" s="26" t="n">
        <f aca="false">K32+M32</f>
        <v>16</v>
      </c>
      <c r="O32" s="25" t="n">
        <v>1</v>
      </c>
    </row>
    <row r="33" customFormat="false" ht="15" hidden="false" customHeight="false" outlineLevel="0" collapsed="false">
      <c r="A33" s="23" t="s">
        <v>222</v>
      </c>
      <c r="B33" s="23" t="s">
        <v>211</v>
      </c>
      <c r="C33" s="23" t="s">
        <v>189</v>
      </c>
      <c r="D33" s="24" t="s">
        <v>187</v>
      </c>
      <c r="E33" s="25" t="n">
        <v>181</v>
      </c>
      <c r="F33" s="25" t="n">
        <v>35</v>
      </c>
      <c r="G33" s="25" t="n">
        <v>15</v>
      </c>
      <c r="H33" s="25" t="n">
        <v>2</v>
      </c>
      <c r="I33" s="25" t="n">
        <v>131</v>
      </c>
      <c r="J33" s="25" t="n">
        <v>4</v>
      </c>
      <c r="K33" s="25" t="n">
        <v>10</v>
      </c>
      <c r="L33" s="25" t="n">
        <v>25</v>
      </c>
      <c r="M33" s="26" t="n">
        <f aca="false">H33+J33</f>
        <v>6</v>
      </c>
      <c r="N33" s="26" t="n">
        <f aca="false">K33+M33</f>
        <v>16</v>
      </c>
      <c r="O33" s="25" t="n">
        <v>1</v>
      </c>
    </row>
    <row r="34" customFormat="false" ht="15" hidden="false" customHeight="false" outlineLevel="0" collapsed="false">
      <c r="A34" s="23" t="s">
        <v>223</v>
      </c>
      <c r="B34" s="23" t="s">
        <v>211</v>
      </c>
      <c r="C34" s="23" t="s">
        <v>196</v>
      </c>
      <c r="D34" s="24" t="s">
        <v>187</v>
      </c>
      <c r="E34" s="25" t="n">
        <v>274</v>
      </c>
      <c r="F34" s="25" t="n">
        <v>35</v>
      </c>
      <c r="G34" s="25" t="n">
        <v>9</v>
      </c>
      <c r="H34" s="25" t="n">
        <v>2</v>
      </c>
      <c r="I34" s="25" t="n">
        <v>230</v>
      </c>
      <c r="J34" s="25" t="n">
        <v>7</v>
      </c>
      <c r="K34" s="25" t="n">
        <v>10</v>
      </c>
      <c r="L34" s="25" t="n">
        <v>37</v>
      </c>
      <c r="M34" s="26" t="n">
        <f aca="false">H34+J34</f>
        <v>9</v>
      </c>
      <c r="N34" s="26" t="n">
        <f aca="false">K34+M34</f>
        <v>19</v>
      </c>
      <c r="O34" s="25" t="n">
        <v>1</v>
      </c>
    </row>
    <row r="35" customFormat="false" ht="15" hidden="false" customHeight="false" outlineLevel="0" collapsed="false">
      <c r="A35" s="23" t="s">
        <v>224</v>
      </c>
      <c r="B35" s="23" t="s">
        <v>211</v>
      </c>
      <c r="C35" s="23" t="s">
        <v>196</v>
      </c>
      <c r="D35" s="24" t="s">
        <v>187</v>
      </c>
      <c r="E35" s="25" t="n">
        <v>277</v>
      </c>
      <c r="F35" s="25" t="n">
        <v>35</v>
      </c>
      <c r="G35" s="25" t="n">
        <v>15</v>
      </c>
      <c r="H35" s="25" t="n">
        <v>2</v>
      </c>
      <c r="I35" s="25" t="n">
        <v>227</v>
      </c>
      <c r="J35" s="25" t="n">
        <v>7</v>
      </c>
      <c r="K35" s="25" t="n">
        <v>10</v>
      </c>
      <c r="L35" s="25" t="n">
        <v>37</v>
      </c>
      <c r="M35" s="26" t="n">
        <f aca="false">H35+J35</f>
        <v>9</v>
      </c>
      <c r="N35" s="26" t="n">
        <f aca="false">K35+M35</f>
        <v>19</v>
      </c>
      <c r="O35" s="25" t="n">
        <v>1</v>
      </c>
    </row>
    <row r="36" customFormat="false" ht="15" hidden="false" customHeight="false" outlineLevel="0" collapsed="false">
      <c r="A36" s="23" t="s">
        <v>225</v>
      </c>
      <c r="B36" s="23" t="s">
        <v>211</v>
      </c>
      <c r="C36" s="23" t="s">
        <v>189</v>
      </c>
      <c r="D36" s="24" t="s">
        <v>187</v>
      </c>
      <c r="E36" s="25" t="n">
        <v>179</v>
      </c>
      <c r="F36" s="25" t="n">
        <v>35</v>
      </c>
      <c r="G36" s="25" t="n">
        <v>13</v>
      </c>
      <c r="H36" s="25" t="n">
        <v>2</v>
      </c>
      <c r="I36" s="25" t="n">
        <v>131</v>
      </c>
      <c r="J36" s="25" t="n">
        <v>4</v>
      </c>
      <c r="K36" s="25" t="n">
        <v>10</v>
      </c>
      <c r="L36" s="25" t="n">
        <v>25</v>
      </c>
      <c r="M36" s="26" t="n">
        <f aca="false">H36+J36</f>
        <v>6</v>
      </c>
      <c r="N36" s="26" t="n">
        <f aca="false">K36+M36</f>
        <v>16</v>
      </c>
      <c r="O36" s="25" t="n">
        <v>1</v>
      </c>
    </row>
    <row r="37" customFormat="false" ht="15" hidden="false" customHeight="false" outlineLevel="0" collapsed="false">
      <c r="A37" s="23" t="s">
        <v>226</v>
      </c>
      <c r="B37" s="23" t="s">
        <v>211</v>
      </c>
      <c r="C37" s="23" t="s">
        <v>189</v>
      </c>
      <c r="D37" s="24" t="s">
        <v>187</v>
      </c>
      <c r="E37" s="25" t="n">
        <v>181</v>
      </c>
      <c r="F37" s="25" t="n">
        <v>35</v>
      </c>
      <c r="G37" s="25" t="n">
        <v>15</v>
      </c>
      <c r="H37" s="25" t="n">
        <v>2</v>
      </c>
      <c r="I37" s="25" t="n">
        <v>131</v>
      </c>
      <c r="J37" s="25" t="n">
        <v>4</v>
      </c>
      <c r="K37" s="25" t="n">
        <v>10</v>
      </c>
      <c r="L37" s="25" t="n">
        <v>25</v>
      </c>
      <c r="M37" s="26" t="n">
        <f aca="false">H37+J37</f>
        <v>6</v>
      </c>
      <c r="N37" s="26" t="n">
        <f aca="false">K37+M37</f>
        <v>16</v>
      </c>
      <c r="O37" s="25" t="n">
        <v>1</v>
      </c>
    </row>
    <row r="38" customFormat="false" ht="15" hidden="false" customHeight="false" outlineLevel="0" collapsed="false">
      <c r="A38" s="23" t="s">
        <v>227</v>
      </c>
      <c r="B38" s="23" t="s">
        <v>211</v>
      </c>
      <c r="C38" s="23" t="s">
        <v>189</v>
      </c>
      <c r="D38" s="24" t="s">
        <v>187</v>
      </c>
      <c r="E38" s="25" t="n">
        <v>177</v>
      </c>
      <c r="F38" s="25" t="n">
        <v>35</v>
      </c>
      <c r="G38" s="25" t="n">
        <v>11</v>
      </c>
      <c r="H38" s="25" t="n">
        <v>2</v>
      </c>
      <c r="I38" s="25" t="n">
        <v>131</v>
      </c>
      <c r="J38" s="25" t="n">
        <v>4</v>
      </c>
      <c r="K38" s="25" t="n">
        <v>10</v>
      </c>
      <c r="L38" s="25" t="n">
        <v>25</v>
      </c>
      <c r="M38" s="26" t="n">
        <f aca="false">H38+J38</f>
        <v>6</v>
      </c>
      <c r="N38" s="26" t="n">
        <f aca="false">K38+M38</f>
        <v>16</v>
      </c>
      <c r="O38" s="25" t="n">
        <v>1</v>
      </c>
    </row>
    <row r="39" customFormat="false" ht="15" hidden="false" customHeight="false" outlineLevel="0" collapsed="false">
      <c r="A39" s="23" t="s">
        <v>228</v>
      </c>
      <c r="B39" s="23" t="s">
        <v>211</v>
      </c>
      <c r="C39" s="23" t="s">
        <v>189</v>
      </c>
      <c r="D39" s="24" t="s">
        <v>187</v>
      </c>
      <c r="E39" s="25" t="n">
        <v>181</v>
      </c>
      <c r="F39" s="25" t="n">
        <v>35</v>
      </c>
      <c r="G39" s="25" t="n">
        <v>15</v>
      </c>
      <c r="H39" s="25" t="n">
        <v>2</v>
      </c>
      <c r="I39" s="25" t="n">
        <v>131</v>
      </c>
      <c r="J39" s="25" t="n">
        <v>4</v>
      </c>
      <c r="K39" s="25" t="n">
        <v>10</v>
      </c>
      <c r="L39" s="25" t="n">
        <v>25</v>
      </c>
      <c r="M39" s="26" t="n">
        <f aca="false">H39+J39</f>
        <v>6</v>
      </c>
      <c r="N39" s="26" t="n">
        <f aca="false">K39+M39</f>
        <v>16</v>
      </c>
      <c r="O39" s="25" t="n">
        <v>1</v>
      </c>
    </row>
    <row r="40" customFormat="false" ht="15" hidden="false" customHeight="false" outlineLevel="0" collapsed="false">
      <c r="A40" s="23" t="s">
        <v>229</v>
      </c>
      <c r="B40" s="23" t="s">
        <v>211</v>
      </c>
      <c r="C40" s="23" t="s">
        <v>189</v>
      </c>
      <c r="D40" s="24" t="s">
        <v>187</v>
      </c>
      <c r="E40" s="25" t="n">
        <v>173</v>
      </c>
      <c r="F40" s="25" t="n">
        <v>35</v>
      </c>
      <c r="G40" s="25" t="n">
        <v>7</v>
      </c>
      <c r="H40" s="25" t="n">
        <v>2</v>
      </c>
      <c r="I40" s="25" t="n">
        <v>131</v>
      </c>
      <c r="J40" s="25" t="n">
        <v>4</v>
      </c>
      <c r="K40" s="25" t="n">
        <v>10</v>
      </c>
      <c r="L40" s="25" t="n">
        <v>25</v>
      </c>
      <c r="M40" s="26" t="n">
        <f aca="false">H40+J40</f>
        <v>6</v>
      </c>
      <c r="N40" s="26" t="n">
        <f aca="false">K40+M40</f>
        <v>16</v>
      </c>
      <c r="O40" s="25" t="n">
        <v>1</v>
      </c>
    </row>
    <row r="41" customFormat="false" ht="15" hidden="false" customHeight="false" outlineLevel="0" collapsed="false">
      <c r="A41" s="23" t="s">
        <v>230</v>
      </c>
      <c r="B41" s="23" t="s">
        <v>211</v>
      </c>
      <c r="C41" s="23" t="s">
        <v>186</v>
      </c>
      <c r="D41" s="24" t="s">
        <v>187</v>
      </c>
      <c r="E41" s="25" t="n">
        <v>181</v>
      </c>
      <c r="F41" s="25" t="n">
        <v>35</v>
      </c>
      <c r="G41" s="25" t="n">
        <v>15</v>
      </c>
      <c r="H41" s="25" t="n">
        <v>2</v>
      </c>
      <c r="I41" s="25" t="n">
        <v>131</v>
      </c>
      <c r="J41" s="25" t="n">
        <v>4</v>
      </c>
      <c r="K41" s="25" t="n">
        <v>10</v>
      </c>
      <c r="L41" s="25" t="n">
        <v>25</v>
      </c>
      <c r="M41" s="26" t="n">
        <f aca="false">H41+J41</f>
        <v>6</v>
      </c>
      <c r="N41" s="26" t="n">
        <f aca="false">K41+M41</f>
        <v>16</v>
      </c>
      <c r="O41" s="25" t="n">
        <v>1</v>
      </c>
    </row>
    <row r="43" customFormat="false" ht="15" hidden="false" customHeight="false" outlineLevel="0" collapsed="false">
      <c r="A43" s="27" t="s">
        <v>231</v>
      </c>
      <c r="D43" s="28" t="n">
        <f aca="false">COUNTA(A2:A41)</f>
        <v>40</v>
      </c>
      <c r="E43" s="29" t="n">
        <f aca="false">SUM(E2:E41)</f>
        <v>7981</v>
      </c>
      <c r="F43" s="29" t="n">
        <f aca="false">SUM(F2:F41)</f>
        <v>1280</v>
      </c>
      <c r="G43" s="29" t="n">
        <f aca="false">SUM(G2:G41)</f>
        <v>612</v>
      </c>
      <c r="H43" s="29" t="n">
        <f aca="false">SUM(H2:H41)</f>
        <v>80</v>
      </c>
      <c r="I43" s="29" t="n">
        <f aca="false">SUM(I2:I41)</f>
        <v>6089</v>
      </c>
      <c r="J43" s="29" t="n">
        <f aca="false">SUM(J2:J41)</f>
        <v>171</v>
      </c>
      <c r="K43" s="29" t="n">
        <f aca="false">SUM(K2:K41)</f>
        <v>400</v>
      </c>
      <c r="L43" s="29" t="n">
        <f aca="false">SUM(L2:L41)</f>
        <v>1026</v>
      </c>
      <c r="M43" s="29" t="n">
        <f aca="false">SUM(M2:M41)</f>
        <v>251</v>
      </c>
      <c r="N43" s="29" t="n">
        <f aca="false">SUM(N2:N41)</f>
        <v>651</v>
      </c>
      <c r="O43" s="29" t="n">
        <f aca="false">SUM(O2:O41)</f>
        <v>40</v>
      </c>
    </row>
    <row r="44" customFormat="false" ht="15" hidden="false" customHeight="false" outlineLevel="0" collapsed="false">
      <c r="A44" s="27" t="s">
        <v>232</v>
      </c>
      <c r="D44" s="28" t="n">
        <f aca="false">COUNTIF(D2:D41,"S")</f>
        <v>2</v>
      </c>
      <c r="E44" s="29" t="n">
        <f aca="false">SUMIF($D$2:$D$41,"S",E2:E41)</f>
        <v>382</v>
      </c>
      <c r="F44" s="29" t="n">
        <f aca="false">SUMIF($D$2:$D$41,"S",F2:F41)</f>
        <v>64</v>
      </c>
      <c r="G44" s="29" t="n">
        <f aca="false">SUMIF($D$2:$D$41,"S",G2:G41)</f>
        <v>31</v>
      </c>
      <c r="H44" s="29" t="n">
        <f aca="false">SUMIF($D$2:$D$41,"S",H2:H41)</f>
        <v>4</v>
      </c>
      <c r="I44" s="29" t="n">
        <f aca="false">SUMIF($D$2:$D$41,"S",I2:I41)</f>
        <v>287</v>
      </c>
      <c r="J44" s="29" t="n">
        <f aca="false">SUMIF($D$2:$D$41,"S",J2:J41)</f>
        <v>8</v>
      </c>
      <c r="K44" s="29" t="n">
        <f aca="false">SUMIF($D$2:$D$41,"S",K2:K41)</f>
        <v>20</v>
      </c>
      <c r="L44" s="29" t="n">
        <f aca="false">SUMIF($D$2:$D$41,"S",L2:L41)</f>
        <v>49</v>
      </c>
      <c r="M44" s="29" t="n">
        <f aca="false">SUMIF($D$2:$D$41,"S",M2:M41)</f>
        <v>12</v>
      </c>
      <c r="N44" s="29" t="n">
        <f aca="false">SUMIF($D$2:$D$41,"S",N2:N41)</f>
        <v>32</v>
      </c>
      <c r="O44" s="29" t="n">
        <f aca="false">SUMIF($D$2:$D$41,"S",O2:O41)</f>
        <v>2</v>
      </c>
    </row>
    <row r="46" customFormat="false" ht="15" hidden="false" customHeight="false" outlineLevel="0" collapsed="false">
      <c r="A46" s="6" t="s">
        <v>233</v>
      </c>
    </row>
    <row r="47" customFormat="false" ht="15" hidden="false" customHeight="false" outlineLevel="0" collapsed="false">
      <c r="A47" s="6" t="s">
        <v>234</v>
      </c>
    </row>
    <row r="48" customFormat="false" ht="15" hidden="false" customHeight="false" outlineLevel="0" collapsed="false">
      <c r="A48" s="6" t="s">
        <v>235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2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236</v>
      </c>
      <c r="B1" s="7" t="s">
        <v>237</v>
      </c>
      <c r="C1" s="7" t="s">
        <v>71</v>
      </c>
      <c r="D1" s="7" t="s">
        <v>238</v>
      </c>
      <c r="E1" s="7" t="s">
        <v>239</v>
      </c>
      <c r="F1" s="7" t="s">
        <v>240</v>
      </c>
      <c r="G1" s="7" t="s">
        <v>241</v>
      </c>
    </row>
    <row r="2" customFormat="false" ht="35.05" hidden="false" customHeight="false" outlineLevel="0" collapsed="false">
      <c r="A2" s="13" t="s">
        <v>242</v>
      </c>
      <c r="B2" s="9" t="s">
        <v>243</v>
      </c>
      <c r="C2" s="13" t="s">
        <v>162</v>
      </c>
      <c r="D2" s="30" t="n">
        <f aca="false">SUMIF(Fontes!$A$2:$A$56,A2,Fontes!$J$2:$J$56)</f>
        <v>10.97</v>
      </c>
      <c r="E2" s="13"/>
      <c r="F2" s="9" t="s">
        <v>244</v>
      </c>
      <c r="G2" s="13" t="s">
        <v>245</v>
      </c>
    </row>
    <row r="3" customFormat="false" ht="35.05" hidden="false" customHeight="false" outlineLevel="0" collapsed="false">
      <c r="A3" s="13" t="s">
        <v>246</v>
      </c>
      <c r="B3" s="9" t="s">
        <v>247</v>
      </c>
      <c r="C3" s="13" t="s">
        <v>162</v>
      </c>
      <c r="D3" s="30" t="n">
        <f aca="false">SUMIF(Fontes!$A$2:$A$56,A3,Fontes!$J$2:$J$56)</f>
        <v>20.17</v>
      </c>
      <c r="E3" s="13"/>
      <c r="F3" s="9" t="s">
        <v>248</v>
      </c>
      <c r="G3" s="13" t="s">
        <v>245</v>
      </c>
    </row>
    <row r="4" customFormat="false" ht="23.85" hidden="false" customHeight="false" outlineLevel="0" collapsed="false">
      <c r="A4" s="13" t="s">
        <v>249</v>
      </c>
      <c r="B4" s="9" t="s">
        <v>250</v>
      </c>
      <c r="C4" s="13" t="s">
        <v>162</v>
      </c>
      <c r="D4" s="30" t="n">
        <f aca="false">SUMIF(Fontes!$A$2:$A$56,A4,Fontes!$J$2:$J$56)</f>
        <v>37.9</v>
      </c>
      <c r="E4" s="13"/>
      <c r="F4" s="9" t="s">
        <v>251</v>
      </c>
      <c r="G4" s="13" t="s">
        <v>245</v>
      </c>
    </row>
    <row r="5" customFormat="false" ht="23.85" hidden="false" customHeight="false" outlineLevel="0" collapsed="false">
      <c r="A5" s="13" t="s">
        <v>252</v>
      </c>
      <c r="B5" s="9" t="s">
        <v>253</v>
      </c>
      <c r="C5" s="13" t="s">
        <v>162</v>
      </c>
      <c r="D5" s="30" t="n">
        <f aca="false">SUMIF(Fontes!$A$2:$A$56,A5,Fontes!$J$2:$J$56)</f>
        <v>8.9</v>
      </c>
      <c r="E5" s="13"/>
      <c r="F5" s="9" t="s">
        <v>254</v>
      </c>
      <c r="G5" s="13" t="s">
        <v>245</v>
      </c>
    </row>
    <row r="6" customFormat="false" ht="23.85" hidden="false" customHeight="false" outlineLevel="0" collapsed="false">
      <c r="A6" s="13" t="s">
        <v>255</v>
      </c>
      <c r="B6" s="9" t="s">
        <v>256</v>
      </c>
      <c r="C6" s="13" t="s">
        <v>162</v>
      </c>
      <c r="D6" s="30" t="n">
        <f aca="false">SUMIF(Fontes!$A$2:$A$56,A6,Fontes!$J$2:$J$56)</f>
        <v>119.631125</v>
      </c>
      <c r="E6" s="31" t="n">
        <v>12.5</v>
      </c>
      <c r="F6" s="9" t="s">
        <v>257</v>
      </c>
      <c r="G6" s="13" t="s">
        <v>245</v>
      </c>
    </row>
    <row r="7" customFormat="false" ht="35.05" hidden="false" customHeight="false" outlineLevel="0" collapsed="false">
      <c r="A7" s="13" t="s">
        <v>258</v>
      </c>
      <c r="B7" s="9" t="s">
        <v>259</v>
      </c>
      <c r="C7" s="13" t="s">
        <v>162</v>
      </c>
      <c r="D7" s="30" t="n">
        <f aca="false">SUMIF(Fontes!$A$2:$A$56,A7,Fontes!$J$2:$J$56)</f>
        <v>189.98</v>
      </c>
      <c r="E7" s="13"/>
      <c r="F7" s="9" t="s">
        <v>260</v>
      </c>
      <c r="G7" s="13" t="s">
        <v>245</v>
      </c>
    </row>
    <row r="8" customFormat="false" ht="35.05" hidden="false" customHeight="false" outlineLevel="0" collapsed="false">
      <c r="A8" s="13" t="s">
        <v>261</v>
      </c>
      <c r="B8" s="9" t="s">
        <v>262</v>
      </c>
      <c r="C8" s="13" t="s">
        <v>162</v>
      </c>
      <c r="D8" s="30" t="n">
        <f aca="false">SUMIF(Fontes!$A$2:$A$56,A8,Fontes!$J$2:$J$56)</f>
        <v>591.68</v>
      </c>
      <c r="E8" s="13"/>
      <c r="F8" s="9" t="s">
        <v>263</v>
      </c>
      <c r="G8" s="13" t="s">
        <v>245</v>
      </c>
    </row>
    <row r="9" customFormat="false" ht="35.05" hidden="false" customHeight="false" outlineLevel="0" collapsed="false">
      <c r="A9" s="13" t="s">
        <v>264</v>
      </c>
      <c r="B9" s="9" t="s">
        <v>265</v>
      </c>
      <c r="C9" s="13" t="s">
        <v>162</v>
      </c>
      <c r="D9" s="30" t="n">
        <f aca="false">SUMIF(Fontes!$A$2:$A$56,A9,Fontes!$J$2:$J$56)</f>
        <v>10.9</v>
      </c>
      <c r="E9" s="13"/>
      <c r="F9" s="9" t="s">
        <v>266</v>
      </c>
      <c r="G9" s="13" t="s">
        <v>245</v>
      </c>
    </row>
    <row r="10" customFormat="false" ht="35.05" hidden="false" customHeight="false" outlineLevel="0" collapsed="false">
      <c r="A10" s="13" t="s">
        <v>267</v>
      </c>
      <c r="B10" s="9" t="s">
        <v>268</v>
      </c>
      <c r="C10" s="13" t="s">
        <v>162</v>
      </c>
      <c r="D10" s="30" t="n">
        <f aca="false">SUMIF(Fontes!$A$2:$A$56,A10,Fontes!$J$2:$J$56)</f>
        <v>20.75</v>
      </c>
      <c r="E10" s="13"/>
      <c r="F10" s="9" t="s">
        <v>269</v>
      </c>
      <c r="G10" s="13" t="s">
        <v>245</v>
      </c>
    </row>
    <row r="11" customFormat="false" ht="35.05" hidden="false" customHeight="false" outlineLevel="0" collapsed="false">
      <c r="A11" s="13" t="s">
        <v>270</v>
      </c>
      <c r="B11" s="9" t="s">
        <v>271</v>
      </c>
      <c r="C11" s="13" t="s">
        <v>162</v>
      </c>
      <c r="D11" s="30" t="n">
        <f aca="false">SUMIF(Fontes!$A$2:$A$56,A11,Fontes!$J$2:$J$56)</f>
        <v>4.5</v>
      </c>
      <c r="E11" s="13"/>
      <c r="F11" s="9" t="s">
        <v>272</v>
      </c>
      <c r="G11" s="13" t="s">
        <v>245</v>
      </c>
    </row>
    <row r="12" customFormat="false" ht="35.05" hidden="false" customHeight="false" outlineLevel="0" collapsed="false">
      <c r="A12" s="13" t="s">
        <v>273</v>
      </c>
      <c r="B12" s="9" t="s">
        <v>274</v>
      </c>
      <c r="C12" s="13" t="s">
        <v>162</v>
      </c>
      <c r="D12" s="30" t="n">
        <f aca="false">SUMIF(Fontes!$A$2:$A$56,A12,Fontes!$J$2:$J$56)</f>
        <v>0.7099</v>
      </c>
      <c r="E12" s="13"/>
      <c r="F12" s="9" t="s">
        <v>275</v>
      </c>
      <c r="G12" s="13" t="s">
        <v>245</v>
      </c>
    </row>
    <row r="13" customFormat="false" ht="35.05" hidden="false" customHeight="false" outlineLevel="0" collapsed="false">
      <c r="A13" s="13" t="s">
        <v>276</v>
      </c>
      <c r="B13" s="9" t="s">
        <v>277</v>
      </c>
      <c r="C13" s="13" t="s">
        <v>134</v>
      </c>
      <c r="D13" s="30" t="n">
        <f aca="false">SUMIF(Fontes!$A$2:$A$56,A13,Fontes!$J$2:$J$56)</f>
        <v>2.62262295081967</v>
      </c>
      <c r="E13" s="13"/>
      <c r="F13" s="9" t="s">
        <v>278</v>
      </c>
      <c r="G13" s="13" t="s">
        <v>245</v>
      </c>
    </row>
    <row r="14" customFormat="false" ht="35.05" hidden="false" customHeight="false" outlineLevel="0" collapsed="false">
      <c r="A14" s="13" t="s">
        <v>279</v>
      </c>
      <c r="B14" s="9" t="s">
        <v>280</v>
      </c>
      <c r="C14" s="13" t="s">
        <v>162</v>
      </c>
      <c r="D14" s="30" t="n">
        <f aca="false">SUMIF(Fontes!$A$2:$A$56,A14,Fontes!$J$2:$J$56)</f>
        <v>12.34</v>
      </c>
      <c r="E14" s="13"/>
      <c r="F14" s="9" t="s">
        <v>281</v>
      </c>
      <c r="G14" s="13" t="s">
        <v>245</v>
      </c>
    </row>
    <row r="15" customFormat="false" ht="35.05" hidden="false" customHeight="false" outlineLevel="0" collapsed="false">
      <c r="A15" s="13" t="s">
        <v>282</v>
      </c>
      <c r="B15" s="9" t="s">
        <v>283</v>
      </c>
      <c r="C15" s="13" t="s">
        <v>162</v>
      </c>
      <c r="D15" s="30" t="n">
        <f aca="false">SUMIF(Fontes!$A$2:$A$56,A15,Fontes!$J$2:$J$56)</f>
        <v>28.17</v>
      </c>
      <c r="E15" s="13"/>
      <c r="F15" s="9" t="s">
        <v>284</v>
      </c>
      <c r="G15" s="13" t="s">
        <v>245</v>
      </c>
    </row>
    <row r="16" customFormat="false" ht="23.85" hidden="false" customHeight="false" outlineLevel="0" collapsed="false">
      <c r="A16" s="13" t="s">
        <v>285</v>
      </c>
      <c r="B16" s="9" t="s">
        <v>286</v>
      </c>
      <c r="C16" s="13" t="s">
        <v>162</v>
      </c>
      <c r="D16" s="30" t="n">
        <f aca="false">SUMIF(Fontes!$A$2:$A$56,A16,Fontes!$J$2:$J$56)</f>
        <v>4.72</v>
      </c>
      <c r="E16" s="13"/>
      <c r="F16" s="9" t="s">
        <v>287</v>
      </c>
      <c r="G16" s="13" t="s">
        <v>245</v>
      </c>
    </row>
    <row r="17" customFormat="false" ht="23.85" hidden="false" customHeight="false" outlineLevel="0" collapsed="false">
      <c r="A17" s="13" t="s">
        <v>288</v>
      </c>
      <c r="B17" s="9" t="s">
        <v>289</v>
      </c>
      <c r="C17" s="13" t="s">
        <v>162</v>
      </c>
      <c r="D17" s="30" t="n">
        <f aca="false">SUMIF(Fontes!$A$2:$A$56,A17,Fontes!$J$2:$J$56)</f>
        <v>187.52</v>
      </c>
      <c r="E17" s="13"/>
      <c r="F17" s="9" t="s">
        <v>290</v>
      </c>
      <c r="G17" s="13" t="s">
        <v>245</v>
      </c>
    </row>
    <row r="18" customFormat="false" ht="23.85" hidden="false" customHeight="false" outlineLevel="0" collapsed="false">
      <c r="A18" s="13" t="s">
        <v>291</v>
      </c>
      <c r="B18" s="9" t="s">
        <v>292</v>
      </c>
      <c r="C18" s="13" t="s">
        <v>293</v>
      </c>
      <c r="D18" s="30" t="n">
        <f aca="false">SUMIF(Fontes!$A$2:$A$56,A18,Fontes!$J$2:$J$56)</f>
        <v>40.7</v>
      </c>
      <c r="E18" s="13"/>
      <c r="F18" s="9" t="s">
        <v>294</v>
      </c>
      <c r="G18" s="13" t="s">
        <v>245</v>
      </c>
    </row>
    <row r="19" customFormat="false" ht="35.05" hidden="false" customHeight="false" outlineLevel="0" collapsed="false">
      <c r="A19" s="13" t="s">
        <v>295</v>
      </c>
      <c r="B19" s="9" t="s">
        <v>296</v>
      </c>
      <c r="C19" s="13" t="s">
        <v>134</v>
      </c>
      <c r="D19" s="30" t="n">
        <f aca="false">SUMIF(Fontes!$A$2:$A$56,A19,Fontes!$J$2:$J$56)</f>
        <v>4.36</v>
      </c>
      <c r="E19" s="13"/>
      <c r="F19" s="9" t="s">
        <v>297</v>
      </c>
      <c r="G19" s="13" t="s">
        <v>245</v>
      </c>
    </row>
    <row r="20" customFormat="false" ht="23.85" hidden="false" customHeight="false" outlineLevel="0" collapsed="false">
      <c r="A20" s="13" t="s">
        <v>298</v>
      </c>
      <c r="B20" s="9" t="s">
        <v>299</v>
      </c>
      <c r="C20" s="13" t="s">
        <v>293</v>
      </c>
      <c r="D20" s="30" t="n">
        <f aca="false">SUMIF(Fontes!$A$2:$A$56,A20,Fontes!$J$2:$J$56)</f>
        <v>28.52</v>
      </c>
      <c r="E20" s="13"/>
      <c r="F20" s="9" t="s">
        <v>300</v>
      </c>
      <c r="G20" s="13" t="s">
        <v>245</v>
      </c>
    </row>
    <row r="21" customFormat="false" ht="35.05" hidden="false" customHeight="false" outlineLevel="0" collapsed="false">
      <c r="A21" s="13" t="s">
        <v>301</v>
      </c>
      <c r="B21" s="9" t="s">
        <v>302</v>
      </c>
      <c r="C21" s="13" t="s">
        <v>162</v>
      </c>
      <c r="D21" s="30" t="n">
        <f aca="false">SUMIF(Fontes!$A$2:$A$56,A21,Fontes!$J$2:$J$56)</f>
        <v>769.32</v>
      </c>
      <c r="E21" s="13"/>
      <c r="F21" s="9" t="s">
        <v>303</v>
      </c>
      <c r="G21" s="13" t="s">
        <v>245</v>
      </c>
    </row>
    <row r="22" customFormat="false" ht="15" hidden="false" customHeight="false" outlineLevel="0" collapsed="false">
      <c r="A22" s="13" t="s">
        <v>304</v>
      </c>
      <c r="B22" s="9" t="s">
        <v>305</v>
      </c>
      <c r="C22" s="13" t="s">
        <v>306</v>
      </c>
      <c r="D22" s="32" t="n">
        <v>0</v>
      </c>
      <c r="E22" s="13"/>
      <c r="F22" s="9" t="s">
        <v>307</v>
      </c>
      <c r="G22" s="13" t="s">
        <v>308</v>
      </c>
    </row>
    <row r="23" customFormat="false" ht="35.05" hidden="false" customHeight="false" outlineLevel="0" collapsed="false">
      <c r="A23" s="13" t="s">
        <v>309</v>
      </c>
      <c r="B23" s="9" t="s">
        <v>310</v>
      </c>
      <c r="C23" s="13" t="s">
        <v>162</v>
      </c>
      <c r="D23" s="30" t="n">
        <f aca="false">SUMIF(Fontes!$A$2:$A$56,A23,Fontes!$J$2:$J$56)</f>
        <v>2.3741</v>
      </c>
      <c r="E23" s="13"/>
      <c r="F23" s="9" t="s">
        <v>311</v>
      </c>
      <c r="G23" s="13" t="s">
        <v>245</v>
      </c>
    </row>
    <row r="24" customFormat="false" ht="35.05" hidden="false" customHeight="false" outlineLevel="0" collapsed="false">
      <c r="A24" s="13" t="s">
        <v>312</v>
      </c>
      <c r="B24" s="9" t="s">
        <v>313</v>
      </c>
      <c r="C24" s="13" t="s">
        <v>162</v>
      </c>
      <c r="D24" s="30" t="n">
        <f aca="false">SUMIF(Fontes!$A$2:$A$56,A24,Fontes!$J$2:$J$56)</f>
        <v>0.0063</v>
      </c>
      <c r="E24" s="13"/>
      <c r="F24" s="9" t="s">
        <v>314</v>
      </c>
      <c r="G24" s="13" t="s">
        <v>245</v>
      </c>
    </row>
    <row r="25" customFormat="false" ht="35.05" hidden="false" customHeight="false" outlineLevel="0" collapsed="false">
      <c r="A25" s="13" t="s">
        <v>315</v>
      </c>
      <c r="B25" s="9" t="s">
        <v>316</v>
      </c>
      <c r="C25" s="13" t="s">
        <v>162</v>
      </c>
      <c r="D25" s="30" t="n">
        <f aca="false">SUMIF(Fontes!$A$2:$A$56,A25,Fontes!$J$2:$J$56)</f>
        <v>29.89</v>
      </c>
      <c r="E25" s="13"/>
      <c r="F25" s="9" t="s">
        <v>317</v>
      </c>
      <c r="G25" s="13" t="s">
        <v>245</v>
      </c>
    </row>
    <row r="26" customFormat="false" ht="23.85" hidden="false" customHeight="false" outlineLevel="0" collapsed="false">
      <c r="A26" s="13" t="s">
        <v>318</v>
      </c>
      <c r="B26" s="9" t="s">
        <v>319</v>
      </c>
      <c r="C26" s="13" t="s">
        <v>162</v>
      </c>
      <c r="D26" s="30" t="n">
        <f aca="false">SUMIF(Fontes!$A$2:$A$56,A26,Fontes!$J$2:$J$56)</f>
        <v>42.65</v>
      </c>
      <c r="E26" s="13"/>
      <c r="F26" s="9" t="s">
        <v>320</v>
      </c>
      <c r="G26" s="13" t="s">
        <v>245</v>
      </c>
    </row>
    <row r="27" customFormat="false" ht="23.85" hidden="false" customHeight="false" outlineLevel="0" collapsed="false">
      <c r="A27" s="13" t="s">
        <v>321</v>
      </c>
      <c r="B27" s="9" t="s">
        <v>322</v>
      </c>
      <c r="C27" s="13" t="s">
        <v>293</v>
      </c>
      <c r="D27" s="30" t="n">
        <f aca="false">SUMIF(Fontes!$A$2:$A$56,A27,Fontes!$J$2:$J$56)</f>
        <v>34.05</v>
      </c>
      <c r="E27" s="13"/>
      <c r="F27" s="9" t="s">
        <v>323</v>
      </c>
      <c r="G27" s="13" t="s">
        <v>324</v>
      </c>
    </row>
    <row r="28" customFormat="false" ht="23.85" hidden="false" customHeight="false" outlineLevel="0" collapsed="false">
      <c r="A28" s="13" t="s">
        <v>325</v>
      </c>
      <c r="B28" s="9" t="s">
        <v>326</v>
      </c>
      <c r="C28" s="13" t="s">
        <v>162</v>
      </c>
      <c r="D28" s="30" t="n">
        <f aca="false">SUMIF(Fontes!$A$2:$A$56,A28,Fontes!$J$2:$J$56)</f>
        <v>6.507</v>
      </c>
      <c r="E28" s="13"/>
      <c r="F28" s="9" t="s">
        <v>327</v>
      </c>
      <c r="G28" s="13" t="s">
        <v>245</v>
      </c>
    </row>
    <row r="29" customFormat="false" ht="15" hidden="false" customHeight="false" outlineLevel="0" collapsed="false">
      <c r="A29" s="13" t="s">
        <v>328</v>
      </c>
      <c r="B29" s="9" t="s">
        <v>329</v>
      </c>
      <c r="C29" s="13" t="s">
        <v>162</v>
      </c>
      <c r="D29" s="30" t="n">
        <f aca="false">E29*Premissas!$B$2*Premissas!$B$3</f>
        <v>287.1147</v>
      </c>
      <c r="E29" s="31" t="n">
        <v>30</v>
      </c>
      <c r="F29" s="9" t="s">
        <v>330</v>
      </c>
      <c r="G29" s="13" t="s">
        <v>331</v>
      </c>
    </row>
    <row r="30" customFormat="false" ht="15" hidden="false" customHeight="false" outlineLevel="0" collapsed="false">
      <c r="A30" s="13" t="s">
        <v>332</v>
      </c>
      <c r="B30" s="9" t="s">
        <v>333</v>
      </c>
      <c r="C30" s="13" t="s">
        <v>162</v>
      </c>
      <c r="D30" s="30" t="n">
        <f aca="false">E30*Premissas!$B$2*Premissas!$B$3</f>
        <v>622.08185</v>
      </c>
      <c r="E30" s="33" t="n">
        <v>65</v>
      </c>
      <c r="F30" s="9" t="s">
        <v>334</v>
      </c>
      <c r="G30" s="34" t="s">
        <v>104</v>
      </c>
    </row>
    <row r="31" customFormat="false" ht="15" hidden="false" customHeight="false" outlineLevel="0" collapsed="false">
      <c r="A31" s="13" t="s">
        <v>335</v>
      </c>
      <c r="B31" s="9" t="s">
        <v>336</v>
      </c>
      <c r="C31" s="13" t="s">
        <v>162</v>
      </c>
      <c r="D31" s="30" t="n">
        <f aca="false">E31*Premissas!$B$2*Premissas!$B$3</f>
        <v>2105.5078</v>
      </c>
      <c r="E31" s="33" t="n">
        <v>220</v>
      </c>
      <c r="F31" s="9" t="s">
        <v>337</v>
      </c>
      <c r="G31" s="34" t="s">
        <v>104</v>
      </c>
    </row>
    <row r="32" customFormat="false" ht="23.85" hidden="false" customHeight="false" outlineLevel="0" collapsed="false">
      <c r="A32" s="13" t="s">
        <v>338</v>
      </c>
      <c r="B32" s="9" t="s">
        <v>339</v>
      </c>
      <c r="C32" s="13" t="s">
        <v>162</v>
      </c>
      <c r="D32" s="30" t="n">
        <f aca="false">E32*Premissas!$B$2*Premissas!$B$3</f>
        <v>86.13441</v>
      </c>
      <c r="E32" s="33" t="n">
        <v>9</v>
      </c>
      <c r="F32" s="9" t="s">
        <v>340</v>
      </c>
      <c r="G32" s="34" t="s">
        <v>104</v>
      </c>
    </row>
    <row r="33" customFormat="false" ht="15" hidden="false" customHeight="false" outlineLevel="0" collapsed="false">
      <c r="A33" s="13" t="s">
        <v>341</v>
      </c>
      <c r="B33" s="9" t="s">
        <v>342</v>
      </c>
      <c r="C33" s="13" t="s">
        <v>162</v>
      </c>
      <c r="D33" s="30" t="n">
        <f aca="false">E33*Premissas!$B$2*Premissas!$B$3</f>
        <v>210.55078</v>
      </c>
      <c r="E33" s="33" t="n">
        <v>22</v>
      </c>
      <c r="F33" s="9" t="s">
        <v>343</v>
      </c>
      <c r="G33" s="34" t="s">
        <v>104</v>
      </c>
    </row>
    <row r="34" customFormat="false" ht="23.85" hidden="false" customHeight="false" outlineLevel="0" collapsed="false">
      <c r="A34" s="13" t="s">
        <v>344</v>
      </c>
      <c r="B34" s="9" t="s">
        <v>345</v>
      </c>
      <c r="C34" s="13" t="s">
        <v>162</v>
      </c>
      <c r="D34" s="30" t="n">
        <f aca="false">E34*Premissas!$B$2*Premissas!$B$3</f>
        <v>334.96715</v>
      </c>
      <c r="E34" s="33" t="n">
        <v>35</v>
      </c>
      <c r="F34" s="9" t="s">
        <v>343</v>
      </c>
      <c r="G34" s="34" t="s">
        <v>104</v>
      </c>
    </row>
    <row r="35" customFormat="false" ht="15" hidden="false" customHeight="false" outlineLevel="0" collapsed="false">
      <c r="A35" s="13" t="s">
        <v>346</v>
      </c>
      <c r="B35" s="9" t="s">
        <v>347</v>
      </c>
      <c r="C35" s="13" t="s">
        <v>348</v>
      </c>
      <c r="D35" s="35" t="n">
        <v>15000</v>
      </c>
      <c r="E35" s="13"/>
      <c r="F35" s="9" t="s">
        <v>349</v>
      </c>
      <c r="G35" s="34" t="s">
        <v>104</v>
      </c>
    </row>
    <row r="36" customFormat="false" ht="23.85" hidden="false" customHeight="false" outlineLevel="0" collapsed="false">
      <c r="A36" s="13" t="s">
        <v>350</v>
      </c>
      <c r="B36" s="9" t="s">
        <v>351</v>
      </c>
      <c r="C36" s="13" t="s">
        <v>162</v>
      </c>
      <c r="D36" s="30" t="n">
        <f aca="false">E36*Premissas!$B$2*Premissas!$B$3</f>
        <v>9541.77853</v>
      </c>
      <c r="E36" s="31" t="n">
        <v>997</v>
      </c>
      <c r="F36" s="9" t="s">
        <v>352</v>
      </c>
      <c r="G36" s="13" t="s">
        <v>331</v>
      </c>
    </row>
    <row r="37" customFormat="false" ht="35.05" hidden="false" customHeight="false" outlineLevel="0" collapsed="false">
      <c r="A37" s="13" t="s">
        <v>353</v>
      </c>
      <c r="B37" s="9" t="s">
        <v>354</v>
      </c>
      <c r="C37" s="13" t="s">
        <v>134</v>
      </c>
      <c r="D37" s="30" t="n">
        <f aca="false">SUMIF(Fontes!$A$2:$A$56,A37,Fontes!$J$2:$J$56)</f>
        <v>9.2378</v>
      </c>
      <c r="E37" s="13"/>
      <c r="F37" s="9" t="s">
        <v>355</v>
      </c>
      <c r="G37" s="13" t="s">
        <v>245</v>
      </c>
    </row>
    <row r="38" customFormat="false" ht="35.05" hidden="false" customHeight="false" outlineLevel="0" collapsed="false">
      <c r="A38" s="13" t="s">
        <v>356</v>
      </c>
      <c r="B38" s="9" t="s">
        <v>357</v>
      </c>
      <c r="C38" s="13" t="s">
        <v>162</v>
      </c>
      <c r="D38" s="30" t="n">
        <f aca="false">SUMIF(Fontes!$A$2:$A$56,A38,Fontes!$J$2:$J$56)</f>
        <v>6.495</v>
      </c>
      <c r="E38" s="13"/>
      <c r="F38" s="9" t="s">
        <v>358</v>
      </c>
      <c r="G38" s="13" t="s">
        <v>245</v>
      </c>
    </row>
    <row r="39" customFormat="false" ht="35.05" hidden="false" customHeight="false" outlineLevel="0" collapsed="false">
      <c r="A39" s="13" t="s">
        <v>359</v>
      </c>
      <c r="B39" s="9" t="s">
        <v>360</v>
      </c>
      <c r="C39" s="13" t="s">
        <v>162</v>
      </c>
      <c r="D39" s="30" t="n">
        <f aca="false">SUMIF(Fontes!$A$2:$A$56,A39,Fontes!$J$2:$J$56)</f>
        <v>64</v>
      </c>
      <c r="E39" s="13"/>
      <c r="F39" s="9" t="s">
        <v>361</v>
      </c>
      <c r="G39" s="13" t="s">
        <v>245</v>
      </c>
    </row>
    <row r="40" customFormat="false" ht="35.05" hidden="false" customHeight="false" outlineLevel="0" collapsed="false">
      <c r="A40" s="13" t="s">
        <v>362</v>
      </c>
      <c r="B40" s="9" t="s">
        <v>363</v>
      </c>
      <c r="C40" s="13" t="s">
        <v>293</v>
      </c>
      <c r="D40" s="30" t="n">
        <f aca="false">SUMIF(Fontes!$A$2:$A$56,A40,Fontes!$J$2:$J$56)</f>
        <v>285.99</v>
      </c>
      <c r="E40" s="13"/>
      <c r="F40" s="9" t="s">
        <v>364</v>
      </c>
      <c r="G40" s="13" t="s">
        <v>245</v>
      </c>
    </row>
    <row r="41" customFormat="false" ht="23.85" hidden="false" customHeight="false" outlineLevel="0" collapsed="false">
      <c r="A41" s="13" t="s">
        <v>365</v>
      </c>
      <c r="B41" s="9" t="s">
        <v>366</v>
      </c>
      <c r="C41" s="13" t="s">
        <v>293</v>
      </c>
      <c r="D41" s="30" t="n">
        <f aca="false">SUMIF(Fontes!$A$2:$A$56,A41,Fontes!$J$2:$J$56)</f>
        <v>705.69</v>
      </c>
      <c r="E41" s="13"/>
      <c r="F41" s="9" t="s">
        <v>367</v>
      </c>
      <c r="G41" s="13" t="s">
        <v>245</v>
      </c>
    </row>
    <row r="42" customFormat="false" ht="23.85" hidden="false" customHeight="false" outlineLevel="0" collapsed="false">
      <c r="A42" s="13" t="s">
        <v>368</v>
      </c>
      <c r="B42" s="9" t="s">
        <v>369</v>
      </c>
      <c r="C42" s="13" t="s">
        <v>162</v>
      </c>
      <c r="D42" s="30" t="n">
        <f aca="false">SUMIF(Fontes!$A$2:$A$56,A42,Fontes!$J$2:$J$56)</f>
        <v>368.1</v>
      </c>
      <c r="E42" s="13"/>
      <c r="F42" s="9" t="s">
        <v>370</v>
      </c>
      <c r="G42" s="13" t="s">
        <v>245</v>
      </c>
    </row>
    <row r="43" customFormat="false" ht="23.85" hidden="false" customHeight="false" outlineLevel="0" collapsed="false">
      <c r="A43" s="13" t="s">
        <v>371</v>
      </c>
      <c r="B43" s="9" t="s">
        <v>372</v>
      </c>
      <c r="C43" s="13" t="s">
        <v>293</v>
      </c>
      <c r="D43" s="30" t="n">
        <f aca="false">SUMIF(Fontes!$A$2:$A$56,A43,Fontes!$J$2:$J$56)</f>
        <v>431.08</v>
      </c>
      <c r="E43" s="13"/>
      <c r="F43" s="9" t="s">
        <v>373</v>
      </c>
      <c r="G43" s="13" t="s">
        <v>245</v>
      </c>
    </row>
    <row r="44" customFormat="false" ht="35.05" hidden="false" customHeight="false" outlineLevel="0" collapsed="false">
      <c r="A44" s="13" t="s">
        <v>374</v>
      </c>
      <c r="B44" s="9" t="s">
        <v>375</v>
      </c>
      <c r="C44" s="13" t="s">
        <v>162</v>
      </c>
      <c r="D44" s="30" t="n">
        <f aca="false">SUMIF(Fontes!$A$2:$A$56,A44,Fontes!$J$2:$J$56)</f>
        <v>27.4</v>
      </c>
      <c r="E44" s="13"/>
      <c r="F44" s="9" t="s">
        <v>376</v>
      </c>
      <c r="G44" s="13" t="s">
        <v>245</v>
      </c>
    </row>
    <row r="45" customFormat="false" ht="15" hidden="false" customHeight="false" outlineLevel="0" collapsed="false">
      <c r="A45" s="13" t="s">
        <v>377</v>
      </c>
      <c r="B45" s="9" t="s">
        <v>378</v>
      </c>
      <c r="C45" s="13" t="s">
        <v>162</v>
      </c>
      <c r="D45" s="36" t="n">
        <f aca="false">SUMIF(Fontes!$A$2:$A$56,A45,Fontes!$J$2:$J$56)</f>
        <v>350</v>
      </c>
      <c r="E45" s="13"/>
      <c r="F45" s="9" t="s">
        <v>379</v>
      </c>
      <c r="G45" s="34" t="s">
        <v>380</v>
      </c>
    </row>
    <row r="46" customFormat="false" ht="23.85" hidden="false" customHeight="false" outlineLevel="0" collapsed="false">
      <c r="A46" s="13" t="s">
        <v>381</v>
      </c>
      <c r="B46" s="9" t="s">
        <v>382</v>
      </c>
      <c r="C46" s="13" t="s">
        <v>293</v>
      </c>
      <c r="D46" s="30" t="n">
        <f aca="false">SUMIF(Fontes!$A$2:$A$56,A46,Fontes!$J$2:$J$56)</f>
        <v>66.66</v>
      </c>
      <c r="E46" s="13"/>
      <c r="F46" s="9" t="s">
        <v>383</v>
      </c>
      <c r="G46" s="13" t="s">
        <v>245</v>
      </c>
    </row>
    <row r="47" customFormat="false" ht="35.05" hidden="false" customHeight="false" outlineLevel="0" collapsed="false">
      <c r="A47" s="13" t="s">
        <v>384</v>
      </c>
      <c r="B47" s="9" t="s">
        <v>385</v>
      </c>
      <c r="C47" s="13" t="s">
        <v>162</v>
      </c>
      <c r="D47" s="30" t="n">
        <f aca="false">SUMIF(Fontes!$A$2:$A$56,A47,Fontes!$J$2:$J$56)</f>
        <v>93.63</v>
      </c>
      <c r="E47" s="13"/>
      <c r="F47" s="9" t="s">
        <v>386</v>
      </c>
      <c r="G47" s="13" t="s">
        <v>245</v>
      </c>
    </row>
    <row r="48" customFormat="false" ht="23.85" hidden="false" customHeight="false" outlineLevel="0" collapsed="false">
      <c r="A48" s="13" t="s">
        <v>387</v>
      </c>
      <c r="B48" s="9" t="s">
        <v>388</v>
      </c>
      <c r="C48" s="13" t="s">
        <v>162</v>
      </c>
      <c r="D48" s="30" t="n">
        <f aca="false">SUMIF(Fontes!$A$2:$A$56,A48,Fontes!$J$2:$J$56)</f>
        <v>25.611</v>
      </c>
      <c r="E48" s="13"/>
      <c r="F48" s="9" t="s">
        <v>389</v>
      </c>
      <c r="G48" s="13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60"/>
  </cols>
  <sheetData>
    <row r="1" customFormat="false" ht="31.5" hidden="false" customHeight="true" outlineLevel="0" collapsed="false">
      <c r="A1" s="7" t="s">
        <v>236</v>
      </c>
      <c r="B1" s="7" t="s">
        <v>390</v>
      </c>
      <c r="C1" s="7" t="s">
        <v>391</v>
      </c>
      <c r="D1" s="7" t="s">
        <v>392</v>
      </c>
      <c r="E1" s="7" t="s">
        <v>393</v>
      </c>
      <c r="F1" s="7" t="s">
        <v>394</v>
      </c>
      <c r="G1" s="7" t="s">
        <v>395</v>
      </c>
      <c r="H1" s="7" t="s">
        <v>396</v>
      </c>
      <c r="I1" s="7" t="s">
        <v>397</v>
      </c>
      <c r="J1" s="7" t="s">
        <v>398</v>
      </c>
      <c r="K1" s="7" t="s">
        <v>399</v>
      </c>
      <c r="L1" s="7" t="s">
        <v>400</v>
      </c>
    </row>
    <row r="2" customFormat="false" ht="15" hidden="false" customHeight="false" outlineLevel="0" collapsed="false">
      <c r="A2" s="13" t="s">
        <v>242</v>
      </c>
      <c r="B2" s="9" t="s">
        <v>401</v>
      </c>
      <c r="C2" s="13" t="s">
        <v>402</v>
      </c>
      <c r="D2" s="9" t="s">
        <v>403</v>
      </c>
      <c r="E2" s="37" t="s">
        <v>404</v>
      </c>
      <c r="F2" s="32" t="n">
        <v>10.97</v>
      </c>
      <c r="G2" s="13" t="s">
        <v>405</v>
      </c>
      <c r="H2" s="18" t="n">
        <v>1</v>
      </c>
      <c r="I2" s="18" t="n">
        <v>1</v>
      </c>
      <c r="J2" s="30" t="n">
        <f aca="false">F2/H2*I2</f>
        <v>10.97</v>
      </c>
      <c r="K2" s="13" t="s">
        <v>406</v>
      </c>
      <c r="L2" s="38" t="s">
        <v>407</v>
      </c>
    </row>
    <row r="3" customFormat="false" ht="23.85" hidden="false" customHeight="false" outlineLevel="0" collapsed="false">
      <c r="A3" s="13" t="s">
        <v>246</v>
      </c>
      <c r="B3" s="9" t="s">
        <v>408</v>
      </c>
      <c r="C3" s="13" t="s">
        <v>402</v>
      </c>
      <c r="D3" s="9" t="s">
        <v>409</v>
      </c>
      <c r="E3" s="37" t="s">
        <v>410</v>
      </c>
      <c r="F3" s="32" t="n">
        <v>20.17</v>
      </c>
      <c r="G3" s="13" t="s">
        <v>405</v>
      </c>
      <c r="H3" s="18" t="n">
        <v>1</v>
      </c>
      <c r="I3" s="18" t="n">
        <v>1</v>
      </c>
      <c r="J3" s="30" t="n">
        <f aca="false">F3/H3*I3</f>
        <v>20.17</v>
      </c>
      <c r="K3" s="13" t="s">
        <v>406</v>
      </c>
      <c r="L3" s="38" t="s">
        <v>411</v>
      </c>
    </row>
    <row r="4" customFormat="false" ht="15" hidden="false" customHeight="false" outlineLevel="0" collapsed="false">
      <c r="A4" s="13" t="s">
        <v>249</v>
      </c>
      <c r="B4" s="9" t="s">
        <v>412</v>
      </c>
      <c r="C4" s="13" t="s">
        <v>413</v>
      </c>
      <c r="D4" s="9" t="s">
        <v>414</v>
      </c>
      <c r="E4" s="37" t="s">
        <v>415</v>
      </c>
      <c r="F4" s="32" t="n">
        <v>37.9</v>
      </c>
      <c r="G4" s="13" t="s">
        <v>405</v>
      </c>
      <c r="H4" s="18" t="n">
        <v>1</v>
      </c>
      <c r="I4" s="18" t="n">
        <v>1</v>
      </c>
      <c r="J4" s="30" t="n">
        <f aca="false">F4/H4*I4</f>
        <v>37.9</v>
      </c>
      <c r="K4" s="13" t="s">
        <v>406</v>
      </c>
      <c r="L4" s="38" t="s">
        <v>416</v>
      </c>
    </row>
    <row r="5" customFormat="false" ht="15" hidden="false" customHeight="false" outlineLevel="0" collapsed="false">
      <c r="A5" s="13" t="s">
        <v>252</v>
      </c>
      <c r="B5" s="9" t="s">
        <v>417</v>
      </c>
      <c r="C5" s="13" t="s">
        <v>418</v>
      </c>
      <c r="D5" s="9" t="s">
        <v>419</v>
      </c>
      <c r="E5" s="37" t="s">
        <v>420</v>
      </c>
      <c r="F5" s="32" t="n">
        <v>8.9</v>
      </c>
      <c r="G5" s="13" t="s">
        <v>421</v>
      </c>
      <c r="H5" s="18" t="n">
        <v>1</v>
      </c>
      <c r="I5" s="18" t="n">
        <v>1</v>
      </c>
      <c r="J5" s="30" t="n">
        <f aca="false">F5/H5*I5</f>
        <v>8.9</v>
      </c>
      <c r="K5" s="13" t="s">
        <v>406</v>
      </c>
      <c r="L5" s="38" t="s">
        <v>422</v>
      </c>
    </row>
    <row r="6" customFormat="false" ht="22.35" hidden="false" customHeight="false" outlineLevel="0" collapsed="false">
      <c r="A6" s="13" t="s">
        <v>255</v>
      </c>
      <c r="B6" s="9" t="s">
        <v>423</v>
      </c>
      <c r="C6" s="13" t="s">
        <v>424</v>
      </c>
      <c r="D6" s="9" t="s">
        <v>425</v>
      </c>
      <c r="E6" s="37" t="s">
        <v>426</v>
      </c>
      <c r="F6" s="31" t="n">
        <v>12.5</v>
      </c>
      <c r="G6" s="13" t="s">
        <v>427</v>
      </c>
      <c r="H6" s="18" t="n">
        <v>1</v>
      </c>
      <c r="I6" s="18" t="n">
        <v>1</v>
      </c>
      <c r="J6" s="30" t="n">
        <f aca="false">F6/H6*I6*Premissas!$B$2*Premissas!$B$3</f>
        <v>119.631125</v>
      </c>
      <c r="K6" s="13" t="s">
        <v>406</v>
      </c>
      <c r="L6" s="38" t="s">
        <v>428</v>
      </c>
    </row>
    <row r="7" customFormat="false" ht="23.85" hidden="false" customHeight="false" outlineLevel="0" collapsed="false">
      <c r="A7" s="13" t="s">
        <v>258</v>
      </c>
      <c r="B7" s="9" t="s">
        <v>429</v>
      </c>
      <c r="C7" s="13" t="s">
        <v>430</v>
      </c>
      <c r="D7" s="9" t="s">
        <v>431</v>
      </c>
      <c r="E7" s="37" t="s">
        <v>432</v>
      </c>
      <c r="F7" s="32" t="n">
        <v>189.98</v>
      </c>
      <c r="G7" s="13" t="s">
        <v>433</v>
      </c>
      <c r="H7" s="18" t="n">
        <v>1</v>
      </c>
      <c r="I7" s="18" t="n">
        <v>1</v>
      </c>
      <c r="J7" s="30" t="n">
        <f aca="false">F7/H7*I7</f>
        <v>189.98</v>
      </c>
      <c r="K7" s="13" t="s">
        <v>406</v>
      </c>
      <c r="L7" s="38" t="s">
        <v>434</v>
      </c>
    </row>
    <row r="8" customFormat="false" ht="23.85" hidden="false" customHeight="false" outlineLevel="0" collapsed="false">
      <c r="A8" s="13" t="s">
        <v>261</v>
      </c>
      <c r="B8" s="9" t="s">
        <v>435</v>
      </c>
      <c r="C8" s="13" t="s">
        <v>430</v>
      </c>
      <c r="D8" s="9" t="s">
        <v>436</v>
      </c>
      <c r="E8" s="37" t="s">
        <v>437</v>
      </c>
      <c r="F8" s="32" t="n">
        <v>591.68</v>
      </c>
      <c r="G8" s="13" t="s">
        <v>433</v>
      </c>
      <c r="H8" s="18" t="n">
        <v>1</v>
      </c>
      <c r="I8" s="18" t="n">
        <v>1</v>
      </c>
      <c r="J8" s="30" t="n">
        <f aca="false">F8/H8*I8</f>
        <v>591.68</v>
      </c>
      <c r="K8" s="13" t="s">
        <v>406</v>
      </c>
      <c r="L8" s="38" t="s">
        <v>438</v>
      </c>
    </row>
    <row r="9" customFormat="false" ht="23.85" hidden="false" customHeight="false" outlineLevel="0" collapsed="false">
      <c r="A9" s="13" t="s">
        <v>264</v>
      </c>
      <c r="B9" s="9" t="s">
        <v>439</v>
      </c>
      <c r="C9" s="13" t="s">
        <v>418</v>
      </c>
      <c r="D9" s="9" t="s">
        <v>440</v>
      </c>
      <c r="E9" s="37" t="s">
        <v>441</v>
      </c>
      <c r="F9" s="32" t="n">
        <v>10.9</v>
      </c>
      <c r="G9" s="13" t="s">
        <v>421</v>
      </c>
      <c r="H9" s="18" t="n">
        <v>1</v>
      </c>
      <c r="I9" s="18" t="n">
        <v>1</v>
      </c>
      <c r="J9" s="30" t="n">
        <f aca="false">F9/H9*I9</f>
        <v>10.9</v>
      </c>
      <c r="K9" s="13" t="s">
        <v>406</v>
      </c>
      <c r="L9" s="38" t="s">
        <v>442</v>
      </c>
    </row>
    <row r="10" customFormat="false" ht="23.85" hidden="false" customHeight="false" outlineLevel="0" collapsed="false">
      <c r="A10" s="13" t="s">
        <v>267</v>
      </c>
      <c r="B10" s="9" t="s">
        <v>443</v>
      </c>
      <c r="C10" s="13" t="s">
        <v>402</v>
      </c>
      <c r="D10" s="9" t="s">
        <v>444</v>
      </c>
      <c r="E10" s="37" t="s">
        <v>445</v>
      </c>
      <c r="F10" s="32" t="n">
        <v>20.75</v>
      </c>
      <c r="G10" s="13" t="s">
        <v>405</v>
      </c>
      <c r="H10" s="18" t="n">
        <v>1</v>
      </c>
      <c r="I10" s="18" t="n">
        <v>1</v>
      </c>
      <c r="J10" s="30" t="n">
        <f aca="false">F10/H10*I10</f>
        <v>20.75</v>
      </c>
      <c r="K10" s="13" t="s">
        <v>406</v>
      </c>
      <c r="L10" s="38" t="s">
        <v>446</v>
      </c>
    </row>
    <row r="11" customFormat="false" ht="43.25" hidden="false" customHeight="false" outlineLevel="0" collapsed="false">
      <c r="A11" s="13" t="s">
        <v>270</v>
      </c>
      <c r="B11" s="9" t="s">
        <v>447</v>
      </c>
      <c r="C11" s="13" t="s">
        <v>448</v>
      </c>
      <c r="D11" s="9" t="s">
        <v>449</v>
      </c>
      <c r="E11" s="37" t="s">
        <v>450</v>
      </c>
      <c r="F11" s="32" t="n">
        <v>4.5</v>
      </c>
      <c r="G11" s="13" t="s">
        <v>405</v>
      </c>
      <c r="H11" s="18" t="n">
        <v>1</v>
      </c>
      <c r="I11" s="18" t="n">
        <v>1</v>
      </c>
      <c r="J11" s="30" t="n">
        <f aca="false">F11/H11*I11</f>
        <v>4.5</v>
      </c>
      <c r="K11" s="13" t="s">
        <v>406</v>
      </c>
      <c r="L11" s="38" t="s">
        <v>451</v>
      </c>
    </row>
    <row r="12" customFormat="false" ht="23.85" hidden="false" customHeight="false" outlineLevel="0" collapsed="false">
      <c r="A12" s="13" t="s">
        <v>273</v>
      </c>
      <c r="B12" s="9" t="s">
        <v>452</v>
      </c>
      <c r="C12" s="13" t="s">
        <v>453</v>
      </c>
      <c r="D12" s="9" t="s">
        <v>454</v>
      </c>
      <c r="E12" s="37" t="s">
        <v>455</v>
      </c>
      <c r="F12" s="32" t="n">
        <v>70.99</v>
      </c>
      <c r="G12" s="13" t="s">
        <v>405</v>
      </c>
      <c r="H12" s="18" t="n">
        <v>100</v>
      </c>
      <c r="I12" s="18" t="n">
        <v>1</v>
      </c>
      <c r="J12" s="30" t="n">
        <f aca="false">F12/H12*I12</f>
        <v>0.7099</v>
      </c>
      <c r="K12" s="13" t="s">
        <v>406</v>
      </c>
      <c r="L12" s="38" t="s">
        <v>456</v>
      </c>
    </row>
    <row r="13" customFormat="false" ht="23.85" hidden="false" customHeight="false" outlineLevel="0" collapsed="false">
      <c r="A13" s="13" t="s">
        <v>276</v>
      </c>
      <c r="B13" s="9" t="s">
        <v>457</v>
      </c>
      <c r="C13" s="13" t="s">
        <v>453</v>
      </c>
      <c r="D13" s="9" t="s">
        <v>458</v>
      </c>
      <c r="E13" s="37" t="s">
        <v>459</v>
      </c>
      <c r="F13" s="32" t="n">
        <v>799.9</v>
      </c>
      <c r="G13" s="13" t="s">
        <v>405</v>
      </c>
      <c r="H13" s="18" t="n">
        <v>305</v>
      </c>
      <c r="I13" s="18" t="n">
        <v>1</v>
      </c>
      <c r="J13" s="30" t="n">
        <f aca="false">F13/H13*I13</f>
        <v>2.62262295081967</v>
      </c>
      <c r="K13" s="13" t="s">
        <v>406</v>
      </c>
      <c r="L13" s="38" t="s">
        <v>460</v>
      </c>
    </row>
    <row r="14" customFormat="false" ht="22.35" hidden="false" customHeight="false" outlineLevel="0" collapsed="false">
      <c r="A14" s="13" t="s">
        <v>279</v>
      </c>
      <c r="B14" s="9" t="s">
        <v>461</v>
      </c>
      <c r="C14" s="13" t="s">
        <v>402</v>
      </c>
      <c r="D14" s="9" t="s">
        <v>462</v>
      </c>
      <c r="E14" s="37" t="s">
        <v>463</v>
      </c>
      <c r="F14" s="32" t="n">
        <v>12.34</v>
      </c>
      <c r="G14" s="13" t="s">
        <v>405</v>
      </c>
      <c r="H14" s="18" t="n">
        <v>1</v>
      </c>
      <c r="I14" s="18" t="n">
        <v>1</v>
      </c>
      <c r="J14" s="30" t="n">
        <f aca="false">F14/H14*I14</f>
        <v>12.34</v>
      </c>
      <c r="K14" s="13" t="s">
        <v>406</v>
      </c>
      <c r="L14" s="38" t="s">
        <v>464</v>
      </c>
    </row>
    <row r="15" customFormat="false" ht="23.85" hidden="false" customHeight="false" outlineLevel="0" collapsed="false">
      <c r="A15" s="13" t="s">
        <v>282</v>
      </c>
      <c r="B15" s="9" t="s">
        <v>465</v>
      </c>
      <c r="C15" s="13" t="s">
        <v>402</v>
      </c>
      <c r="D15" s="9" t="s">
        <v>466</v>
      </c>
      <c r="E15" s="37" t="s">
        <v>467</v>
      </c>
      <c r="F15" s="32" t="n">
        <v>28.17</v>
      </c>
      <c r="G15" s="13" t="s">
        <v>405</v>
      </c>
      <c r="H15" s="18" t="n">
        <v>1</v>
      </c>
      <c r="I15" s="18" t="n">
        <v>1</v>
      </c>
      <c r="J15" s="30" t="n">
        <f aca="false">F15/H15*I15</f>
        <v>28.17</v>
      </c>
      <c r="K15" s="13" t="s">
        <v>406</v>
      </c>
      <c r="L15" s="38" t="s">
        <v>468</v>
      </c>
    </row>
    <row r="16" customFormat="false" ht="15" hidden="false" customHeight="false" outlineLevel="0" collapsed="false">
      <c r="A16" s="13" t="s">
        <v>285</v>
      </c>
      <c r="B16" s="9" t="s">
        <v>469</v>
      </c>
      <c r="C16" s="13" t="s">
        <v>470</v>
      </c>
      <c r="D16" s="9" t="s">
        <v>471</v>
      </c>
      <c r="E16" s="37" t="s">
        <v>472</v>
      </c>
      <c r="F16" s="32" t="n">
        <v>2.38</v>
      </c>
      <c r="G16" s="13" t="s">
        <v>405</v>
      </c>
      <c r="H16" s="18" t="n">
        <v>1</v>
      </c>
      <c r="I16" s="18" t="n">
        <v>1</v>
      </c>
      <c r="J16" s="30" t="n">
        <f aca="false">F16/H16*I16</f>
        <v>2.38</v>
      </c>
      <c r="K16" s="13" t="s">
        <v>406</v>
      </c>
      <c r="L16" s="38" t="s">
        <v>473</v>
      </c>
    </row>
    <row r="17" customFormat="false" ht="15" hidden="false" customHeight="false" outlineLevel="0" collapsed="false">
      <c r="A17" s="13" t="s">
        <v>285</v>
      </c>
      <c r="B17" s="9" t="s">
        <v>474</v>
      </c>
      <c r="C17" s="13" t="s">
        <v>475</v>
      </c>
      <c r="D17" s="9" t="s">
        <v>476</v>
      </c>
      <c r="E17" s="37" t="s">
        <v>477</v>
      </c>
      <c r="F17" s="32" t="n">
        <v>1.17</v>
      </c>
      <c r="G17" s="13" t="s">
        <v>405</v>
      </c>
      <c r="H17" s="18" t="n">
        <v>1</v>
      </c>
      <c r="I17" s="18" t="n">
        <v>2</v>
      </c>
      <c r="J17" s="30" t="n">
        <f aca="false">F17/H17*I17</f>
        <v>2.34</v>
      </c>
      <c r="K17" s="13" t="s">
        <v>406</v>
      </c>
      <c r="L17" s="38" t="s">
        <v>478</v>
      </c>
    </row>
    <row r="18" customFormat="false" ht="22.35" hidden="false" customHeight="false" outlineLevel="0" collapsed="false">
      <c r="A18" s="13" t="s">
        <v>288</v>
      </c>
      <c r="B18" s="9" t="s">
        <v>479</v>
      </c>
      <c r="C18" s="13" t="s">
        <v>402</v>
      </c>
      <c r="D18" s="9" t="s">
        <v>480</v>
      </c>
      <c r="E18" s="37" t="s">
        <v>481</v>
      </c>
      <c r="F18" s="32" t="n">
        <v>166.12</v>
      </c>
      <c r="G18" s="13" t="s">
        <v>405</v>
      </c>
      <c r="H18" s="18" t="n">
        <v>1</v>
      </c>
      <c r="I18" s="18" t="n">
        <v>1</v>
      </c>
      <c r="J18" s="30" t="n">
        <f aca="false">F18/H18*I18</f>
        <v>166.12</v>
      </c>
      <c r="K18" s="13" t="s">
        <v>406</v>
      </c>
      <c r="L18" s="38" t="s">
        <v>482</v>
      </c>
    </row>
    <row r="19" customFormat="false" ht="15" hidden="false" customHeight="false" outlineLevel="0" collapsed="false">
      <c r="A19" s="13" t="s">
        <v>288</v>
      </c>
      <c r="B19" s="9" t="s">
        <v>483</v>
      </c>
      <c r="C19" s="13" t="s">
        <v>402</v>
      </c>
      <c r="D19" s="9" t="s">
        <v>484</v>
      </c>
      <c r="E19" s="37" t="s">
        <v>485</v>
      </c>
      <c r="F19" s="32" t="n">
        <v>15.57</v>
      </c>
      <c r="G19" s="13" t="s">
        <v>405</v>
      </c>
      <c r="H19" s="18" t="n">
        <v>1</v>
      </c>
      <c r="I19" s="18" t="n">
        <v>1</v>
      </c>
      <c r="J19" s="30" t="n">
        <f aca="false">F19/H19*I19</f>
        <v>15.57</v>
      </c>
      <c r="K19" s="13" t="s">
        <v>406</v>
      </c>
      <c r="L19" s="38" t="s">
        <v>486</v>
      </c>
    </row>
    <row r="20" customFormat="false" ht="15" hidden="false" customHeight="false" outlineLevel="0" collapsed="false">
      <c r="A20" s="13" t="s">
        <v>288</v>
      </c>
      <c r="B20" s="9" t="s">
        <v>487</v>
      </c>
      <c r="C20" s="13" t="s">
        <v>402</v>
      </c>
      <c r="D20" s="9" t="s">
        <v>488</v>
      </c>
      <c r="E20" s="37" t="s">
        <v>489</v>
      </c>
      <c r="F20" s="32" t="n">
        <v>5.83</v>
      </c>
      <c r="G20" s="13" t="s">
        <v>433</v>
      </c>
      <c r="H20" s="18" t="n">
        <v>1</v>
      </c>
      <c r="I20" s="18" t="n">
        <v>1</v>
      </c>
      <c r="J20" s="30" t="n">
        <f aca="false">F20/H20*I20</f>
        <v>5.83</v>
      </c>
      <c r="K20" s="13" t="s">
        <v>406</v>
      </c>
      <c r="L20" s="38" t="s">
        <v>490</v>
      </c>
    </row>
    <row r="21" customFormat="false" ht="15" hidden="false" customHeight="false" outlineLevel="0" collapsed="false">
      <c r="A21" s="13" t="s">
        <v>291</v>
      </c>
      <c r="B21" s="9" t="s">
        <v>491</v>
      </c>
      <c r="C21" s="13" t="s">
        <v>402</v>
      </c>
      <c r="D21" s="9" t="s">
        <v>492</v>
      </c>
      <c r="E21" s="37" t="s">
        <v>493</v>
      </c>
      <c r="F21" s="32" t="n">
        <v>3.96</v>
      </c>
      <c r="G21" s="13" t="s">
        <v>405</v>
      </c>
      <c r="H21" s="18" t="n">
        <v>1</v>
      </c>
      <c r="I21" s="18" t="n">
        <v>2</v>
      </c>
      <c r="J21" s="30" t="n">
        <f aca="false">F21/H21*I21</f>
        <v>7.92</v>
      </c>
      <c r="K21" s="13" t="s">
        <v>406</v>
      </c>
      <c r="L21" s="38" t="s">
        <v>494</v>
      </c>
    </row>
    <row r="22" customFormat="false" ht="15" hidden="false" customHeight="false" outlineLevel="0" collapsed="false">
      <c r="A22" s="13" t="s">
        <v>291</v>
      </c>
      <c r="B22" s="9" t="s">
        <v>495</v>
      </c>
      <c r="C22" s="13" t="s">
        <v>496</v>
      </c>
      <c r="D22" s="9" t="s">
        <v>497</v>
      </c>
      <c r="E22" s="37" t="s">
        <v>498</v>
      </c>
      <c r="F22" s="32" t="n">
        <v>28.1</v>
      </c>
      <c r="G22" s="13" t="s">
        <v>499</v>
      </c>
      <c r="H22" s="18" t="n">
        <v>1</v>
      </c>
      <c r="I22" s="18" t="n">
        <v>1</v>
      </c>
      <c r="J22" s="30" t="n">
        <f aca="false">F22/H22*I22</f>
        <v>28.1</v>
      </c>
      <c r="K22" s="13" t="s">
        <v>406</v>
      </c>
      <c r="L22" s="38" t="s">
        <v>500</v>
      </c>
    </row>
    <row r="23" customFormat="false" ht="15" hidden="false" customHeight="false" outlineLevel="0" collapsed="false">
      <c r="A23" s="13" t="s">
        <v>291</v>
      </c>
      <c r="B23" s="9" t="s">
        <v>474</v>
      </c>
      <c r="C23" s="13" t="s">
        <v>475</v>
      </c>
      <c r="D23" s="9" t="s">
        <v>476</v>
      </c>
      <c r="E23" s="37" t="s">
        <v>477</v>
      </c>
      <c r="F23" s="32" t="n">
        <v>1.17</v>
      </c>
      <c r="G23" s="13" t="s">
        <v>405</v>
      </c>
      <c r="H23" s="18" t="n">
        <v>1</v>
      </c>
      <c r="I23" s="18" t="n">
        <v>4</v>
      </c>
      <c r="J23" s="30" t="n">
        <f aca="false">F23/H23*I23</f>
        <v>4.68</v>
      </c>
      <c r="K23" s="13" t="s">
        <v>406</v>
      </c>
      <c r="L23" s="38" t="s">
        <v>501</v>
      </c>
    </row>
    <row r="24" customFormat="false" ht="15" hidden="false" customHeight="false" outlineLevel="0" collapsed="false">
      <c r="A24" s="13" t="s">
        <v>295</v>
      </c>
      <c r="B24" s="9" t="s">
        <v>502</v>
      </c>
      <c r="C24" s="13" t="s">
        <v>503</v>
      </c>
      <c r="D24" s="9" t="s">
        <v>504</v>
      </c>
      <c r="E24" s="37" t="s">
        <v>505</v>
      </c>
      <c r="F24" s="32" t="n">
        <v>8.72</v>
      </c>
      <c r="G24" s="13" t="s">
        <v>405</v>
      </c>
      <c r="H24" s="18" t="n">
        <v>2</v>
      </c>
      <c r="I24" s="18" t="n">
        <v>1</v>
      </c>
      <c r="J24" s="30" t="n">
        <f aca="false">F24/H24*I24</f>
        <v>4.36</v>
      </c>
      <c r="K24" s="13" t="s">
        <v>406</v>
      </c>
      <c r="L24" s="38" t="s">
        <v>506</v>
      </c>
    </row>
    <row r="25" customFormat="false" ht="23.85" hidden="false" customHeight="false" outlineLevel="0" collapsed="false">
      <c r="A25" s="13" t="s">
        <v>298</v>
      </c>
      <c r="B25" s="9" t="s">
        <v>507</v>
      </c>
      <c r="C25" s="13" t="s">
        <v>496</v>
      </c>
      <c r="D25" s="9" t="s">
        <v>508</v>
      </c>
      <c r="E25" s="37" t="s">
        <v>509</v>
      </c>
      <c r="F25" s="32" t="n">
        <v>15.52</v>
      </c>
      <c r="G25" s="13" t="s">
        <v>499</v>
      </c>
      <c r="H25" s="18" t="n">
        <v>1</v>
      </c>
      <c r="I25" s="18" t="n">
        <v>1</v>
      </c>
      <c r="J25" s="30" t="n">
        <f aca="false">F25/H25*I25</f>
        <v>15.52</v>
      </c>
      <c r="K25" s="13" t="s">
        <v>406</v>
      </c>
      <c r="L25" s="38" t="s">
        <v>510</v>
      </c>
    </row>
    <row r="26" customFormat="false" ht="23.85" hidden="false" customHeight="false" outlineLevel="0" collapsed="false">
      <c r="A26" s="13" t="s">
        <v>298</v>
      </c>
      <c r="B26" s="9" t="s">
        <v>511</v>
      </c>
      <c r="C26" s="13" t="s">
        <v>512</v>
      </c>
      <c r="D26" s="9" t="s">
        <v>513</v>
      </c>
      <c r="E26" s="37" t="s">
        <v>514</v>
      </c>
      <c r="F26" s="32" t="n">
        <v>91</v>
      </c>
      <c r="G26" s="13" t="s">
        <v>499</v>
      </c>
      <c r="H26" s="18" t="n">
        <v>1400</v>
      </c>
      <c r="I26" s="18" t="n">
        <v>200</v>
      </c>
      <c r="J26" s="30" t="n">
        <f aca="false">F26/H26*I26</f>
        <v>13</v>
      </c>
      <c r="K26" s="13" t="s">
        <v>406</v>
      </c>
      <c r="L26" s="38" t="s">
        <v>515</v>
      </c>
    </row>
    <row r="27" customFormat="false" ht="23.85" hidden="false" customHeight="false" outlineLevel="0" collapsed="false">
      <c r="A27" s="13" t="s">
        <v>301</v>
      </c>
      <c r="B27" s="9" t="s">
        <v>516</v>
      </c>
      <c r="C27" s="13" t="s">
        <v>453</v>
      </c>
      <c r="D27" s="9" t="s">
        <v>517</v>
      </c>
      <c r="E27" s="37" t="s">
        <v>518</v>
      </c>
      <c r="F27" s="32" t="n">
        <v>769.32</v>
      </c>
      <c r="G27" s="13" t="s">
        <v>405</v>
      </c>
      <c r="H27" s="18" t="n">
        <v>1</v>
      </c>
      <c r="I27" s="18" t="n">
        <v>1</v>
      </c>
      <c r="J27" s="30" t="n">
        <f aca="false">F27/H27*I27</f>
        <v>769.32</v>
      </c>
      <c r="K27" s="13" t="s">
        <v>406</v>
      </c>
      <c r="L27" s="38" t="s">
        <v>519</v>
      </c>
    </row>
    <row r="28" customFormat="false" ht="23.85" hidden="false" customHeight="false" outlineLevel="0" collapsed="false">
      <c r="A28" s="13" t="s">
        <v>309</v>
      </c>
      <c r="B28" s="9" t="s">
        <v>520</v>
      </c>
      <c r="C28" s="13" t="s">
        <v>521</v>
      </c>
      <c r="D28" s="9" t="s">
        <v>522</v>
      </c>
      <c r="E28" s="37" t="s">
        <v>523</v>
      </c>
      <c r="F28" s="32" t="n">
        <v>237.41</v>
      </c>
      <c r="G28" s="13" t="s">
        <v>524</v>
      </c>
      <c r="H28" s="18" t="n">
        <v>100</v>
      </c>
      <c r="I28" s="18" t="n">
        <v>1</v>
      </c>
      <c r="J28" s="30" t="n">
        <f aca="false">F28/H28*I28</f>
        <v>2.3741</v>
      </c>
      <c r="K28" s="13" t="s">
        <v>406</v>
      </c>
      <c r="L28" s="38" t="s">
        <v>525</v>
      </c>
    </row>
    <row r="29" customFormat="false" ht="23.85" hidden="false" customHeight="false" outlineLevel="0" collapsed="false">
      <c r="A29" s="13" t="s">
        <v>312</v>
      </c>
      <c r="B29" s="9" t="s">
        <v>526</v>
      </c>
      <c r="C29" s="13" t="s">
        <v>512</v>
      </c>
      <c r="D29" s="9" t="s">
        <v>527</v>
      </c>
      <c r="E29" s="37" t="s">
        <v>528</v>
      </c>
      <c r="F29" s="32" t="n">
        <v>18.9</v>
      </c>
      <c r="G29" s="13" t="s">
        <v>499</v>
      </c>
      <c r="H29" s="18" t="n">
        <v>3000</v>
      </c>
      <c r="I29" s="18" t="n">
        <v>1</v>
      </c>
      <c r="J29" s="30" t="n">
        <f aca="false">F29/H29*I29</f>
        <v>0.0063</v>
      </c>
      <c r="K29" s="13" t="s">
        <v>406</v>
      </c>
      <c r="L29" s="38" t="s">
        <v>529</v>
      </c>
    </row>
    <row r="30" customFormat="false" ht="15" hidden="false" customHeight="false" outlineLevel="0" collapsed="false">
      <c r="A30" s="13" t="s">
        <v>315</v>
      </c>
      <c r="B30" s="9" t="s">
        <v>530</v>
      </c>
      <c r="C30" s="13" t="s">
        <v>402</v>
      </c>
      <c r="D30" s="9" t="s">
        <v>531</v>
      </c>
      <c r="E30" s="37" t="s">
        <v>532</v>
      </c>
      <c r="F30" s="32" t="n">
        <v>29.89</v>
      </c>
      <c r="G30" s="13" t="s">
        <v>405</v>
      </c>
      <c r="H30" s="18" t="n">
        <v>1</v>
      </c>
      <c r="I30" s="18" t="n">
        <v>1</v>
      </c>
      <c r="J30" s="30" t="n">
        <f aca="false">F30/H30*I30</f>
        <v>29.89</v>
      </c>
      <c r="K30" s="13" t="s">
        <v>406</v>
      </c>
      <c r="L30" s="38" t="s">
        <v>533</v>
      </c>
    </row>
    <row r="31" customFormat="false" ht="15" hidden="false" customHeight="false" outlineLevel="0" collapsed="false">
      <c r="A31" s="13" t="s">
        <v>318</v>
      </c>
      <c r="B31" s="9" t="s">
        <v>534</v>
      </c>
      <c r="C31" s="13" t="s">
        <v>413</v>
      </c>
      <c r="D31" s="9" t="s">
        <v>535</v>
      </c>
      <c r="E31" s="37" t="s">
        <v>536</v>
      </c>
      <c r="F31" s="32" t="n">
        <v>42.65</v>
      </c>
      <c r="G31" s="13" t="s">
        <v>405</v>
      </c>
      <c r="H31" s="18" t="n">
        <v>1</v>
      </c>
      <c r="I31" s="18" t="n">
        <v>1</v>
      </c>
      <c r="J31" s="30" t="n">
        <f aca="false">F31/H31*I31</f>
        <v>42.65</v>
      </c>
      <c r="K31" s="13" t="s">
        <v>406</v>
      </c>
      <c r="L31" s="38" t="s">
        <v>537</v>
      </c>
    </row>
    <row r="32" customFormat="false" ht="32.8" hidden="false" customHeight="false" outlineLevel="0" collapsed="false">
      <c r="A32" s="13" t="s">
        <v>321</v>
      </c>
      <c r="B32" s="9" t="s">
        <v>538</v>
      </c>
      <c r="C32" s="13" t="s">
        <v>539</v>
      </c>
      <c r="D32" s="9" t="s">
        <v>540</v>
      </c>
      <c r="E32" s="37" t="s">
        <v>541</v>
      </c>
      <c r="F32" s="35" t="n">
        <v>25</v>
      </c>
      <c r="G32" s="34" t="s">
        <v>542</v>
      </c>
      <c r="H32" s="18" t="n">
        <v>1</v>
      </c>
      <c r="I32" s="18" t="n">
        <v>1</v>
      </c>
      <c r="J32" s="30" t="n">
        <f aca="false">F32/H32*I32</f>
        <v>25</v>
      </c>
      <c r="K32" s="13" t="s">
        <v>406</v>
      </c>
      <c r="L32" s="38" t="s">
        <v>543</v>
      </c>
    </row>
    <row r="33" customFormat="false" ht="23.85" hidden="false" customHeight="false" outlineLevel="0" collapsed="false">
      <c r="A33" s="13" t="s">
        <v>321</v>
      </c>
      <c r="B33" s="9" t="s">
        <v>544</v>
      </c>
      <c r="C33" s="13" t="s">
        <v>470</v>
      </c>
      <c r="D33" s="9" t="s">
        <v>545</v>
      </c>
      <c r="E33" s="37" t="s">
        <v>546</v>
      </c>
      <c r="F33" s="32" t="n">
        <v>4.66</v>
      </c>
      <c r="G33" s="13" t="s">
        <v>405</v>
      </c>
      <c r="H33" s="18" t="n">
        <v>1</v>
      </c>
      <c r="I33" s="18" t="n">
        <v>1</v>
      </c>
      <c r="J33" s="30" t="n">
        <f aca="false">F33/H33*I33</f>
        <v>4.66</v>
      </c>
      <c r="K33" s="13" t="s">
        <v>406</v>
      </c>
      <c r="L33" s="38" t="s">
        <v>547</v>
      </c>
    </row>
    <row r="34" customFormat="false" ht="15" hidden="false" customHeight="false" outlineLevel="0" collapsed="false">
      <c r="A34" s="13" t="s">
        <v>321</v>
      </c>
      <c r="B34" s="9" t="s">
        <v>548</v>
      </c>
      <c r="C34" s="13" t="s">
        <v>470</v>
      </c>
      <c r="D34" s="9" t="s">
        <v>549</v>
      </c>
      <c r="E34" s="37" t="s">
        <v>550</v>
      </c>
      <c r="F34" s="32" t="n">
        <v>4.18</v>
      </c>
      <c r="G34" s="13" t="s">
        <v>405</v>
      </c>
      <c r="H34" s="18" t="n">
        <v>1</v>
      </c>
      <c r="I34" s="18" t="n">
        <v>1</v>
      </c>
      <c r="J34" s="30" t="n">
        <f aca="false">F34/H34*I34</f>
        <v>4.18</v>
      </c>
      <c r="K34" s="13" t="s">
        <v>406</v>
      </c>
      <c r="L34" s="38" t="s">
        <v>551</v>
      </c>
    </row>
    <row r="35" customFormat="false" ht="15" hidden="false" customHeight="false" outlineLevel="0" collapsed="false">
      <c r="A35" s="13" t="s">
        <v>321</v>
      </c>
      <c r="B35" s="9" t="s">
        <v>552</v>
      </c>
      <c r="C35" s="13" t="s">
        <v>470</v>
      </c>
      <c r="D35" s="9" t="s">
        <v>553</v>
      </c>
      <c r="E35" s="37" t="s">
        <v>554</v>
      </c>
      <c r="F35" s="32" t="n">
        <v>0.21</v>
      </c>
      <c r="G35" s="13" t="s">
        <v>405</v>
      </c>
      <c r="H35" s="18" t="n">
        <v>1</v>
      </c>
      <c r="I35" s="18" t="n">
        <v>1</v>
      </c>
      <c r="J35" s="30" t="n">
        <f aca="false">F35/H35*I35</f>
        <v>0.21</v>
      </c>
      <c r="K35" s="13" t="s">
        <v>406</v>
      </c>
      <c r="L35" s="38" t="s">
        <v>555</v>
      </c>
    </row>
    <row r="36" customFormat="false" ht="15" hidden="false" customHeight="false" outlineLevel="0" collapsed="false">
      <c r="A36" s="13" t="s">
        <v>325</v>
      </c>
      <c r="B36" s="9" t="s">
        <v>556</v>
      </c>
      <c r="C36" s="13" t="s">
        <v>402</v>
      </c>
      <c r="D36" s="9" t="s">
        <v>557</v>
      </c>
      <c r="E36" s="37" t="s">
        <v>558</v>
      </c>
      <c r="F36" s="32" t="n">
        <v>5.94</v>
      </c>
      <c r="G36" s="13" t="s">
        <v>433</v>
      </c>
      <c r="H36" s="18" t="n">
        <v>1</v>
      </c>
      <c r="I36" s="18" t="n">
        <v>1</v>
      </c>
      <c r="J36" s="30" t="n">
        <f aca="false">F36/H36*I36</f>
        <v>5.94</v>
      </c>
      <c r="K36" s="13" t="s">
        <v>406</v>
      </c>
      <c r="L36" s="38" t="s">
        <v>559</v>
      </c>
    </row>
    <row r="37" customFormat="false" ht="23.85" hidden="false" customHeight="false" outlineLevel="0" collapsed="false">
      <c r="A37" s="13" t="s">
        <v>325</v>
      </c>
      <c r="B37" s="9" t="s">
        <v>560</v>
      </c>
      <c r="C37" s="13" t="s">
        <v>496</v>
      </c>
      <c r="D37" s="9" t="s">
        <v>561</v>
      </c>
      <c r="E37" s="37" t="s">
        <v>562</v>
      </c>
      <c r="F37" s="32" t="n">
        <v>18.9</v>
      </c>
      <c r="G37" s="13" t="s">
        <v>499</v>
      </c>
      <c r="H37" s="18" t="n">
        <v>10</v>
      </c>
      <c r="I37" s="18" t="n">
        <v>0.3</v>
      </c>
      <c r="J37" s="30" t="n">
        <f aca="false">F37/H37*I37</f>
        <v>0.567</v>
      </c>
      <c r="K37" s="13" t="s">
        <v>406</v>
      </c>
      <c r="L37" s="38" t="s">
        <v>563</v>
      </c>
    </row>
    <row r="38" customFormat="false" ht="15" hidden="false" customHeight="false" outlineLevel="0" collapsed="false">
      <c r="A38" s="13" t="s">
        <v>353</v>
      </c>
      <c r="B38" s="9" t="s">
        <v>564</v>
      </c>
      <c r="C38" s="13" t="s">
        <v>453</v>
      </c>
      <c r="D38" s="9" t="s">
        <v>565</v>
      </c>
      <c r="E38" s="37" t="s">
        <v>566</v>
      </c>
      <c r="F38" s="32" t="n">
        <v>461.89</v>
      </c>
      <c r="G38" s="13" t="s">
        <v>405</v>
      </c>
      <c r="H38" s="18" t="n">
        <v>50</v>
      </c>
      <c r="I38" s="18" t="n">
        <v>1</v>
      </c>
      <c r="J38" s="30" t="n">
        <f aca="false">F38/H38*I38</f>
        <v>9.2378</v>
      </c>
      <c r="K38" s="13" t="s">
        <v>406</v>
      </c>
      <c r="L38" s="38" t="s">
        <v>567</v>
      </c>
    </row>
    <row r="39" customFormat="false" ht="23.85" hidden="false" customHeight="false" outlineLevel="0" collapsed="false">
      <c r="A39" s="13" t="s">
        <v>356</v>
      </c>
      <c r="B39" s="9" t="s">
        <v>568</v>
      </c>
      <c r="C39" s="13" t="s">
        <v>496</v>
      </c>
      <c r="D39" s="9" t="s">
        <v>569</v>
      </c>
      <c r="E39" s="37" t="s">
        <v>570</v>
      </c>
      <c r="F39" s="32" t="n">
        <v>64.95</v>
      </c>
      <c r="G39" s="13" t="s">
        <v>499</v>
      </c>
      <c r="H39" s="18" t="n">
        <v>10</v>
      </c>
      <c r="I39" s="18" t="n">
        <v>1</v>
      </c>
      <c r="J39" s="30" t="n">
        <f aca="false">F39/H39*I39</f>
        <v>6.495</v>
      </c>
      <c r="K39" s="13" t="s">
        <v>406</v>
      </c>
      <c r="L39" s="38" t="s">
        <v>571</v>
      </c>
    </row>
    <row r="40" customFormat="false" ht="23.85" hidden="false" customHeight="false" outlineLevel="0" collapsed="false">
      <c r="A40" s="13" t="s">
        <v>359</v>
      </c>
      <c r="B40" s="9" t="s">
        <v>572</v>
      </c>
      <c r="C40" s="13" t="s">
        <v>496</v>
      </c>
      <c r="D40" s="9" t="s">
        <v>573</v>
      </c>
      <c r="E40" s="37" t="s">
        <v>574</v>
      </c>
      <c r="F40" s="32" t="n">
        <v>64</v>
      </c>
      <c r="G40" s="13" t="s">
        <v>499</v>
      </c>
      <c r="H40" s="18" t="n">
        <v>1</v>
      </c>
      <c r="I40" s="18" t="n">
        <v>1</v>
      </c>
      <c r="J40" s="30" t="n">
        <f aca="false">F40/H40*I40</f>
        <v>64</v>
      </c>
      <c r="K40" s="13" t="s">
        <v>406</v>
      </c>
      <c r="L40" s="38" t="s">
        <v>575</v>
      </c>
    </row>
    <row r="41" customFormat="false" ht="23.85" hidden="false" customHeight="false" outlineLevel="0" collapsed="false">
      <c r="A41" s="13" t="s">
        <v>362</v>
      </c>
      <c r="B41" s="9" t="s">
        <v>576</v>
      </c>
      <c r="C41" s="13" t="s">
        <v>453</v>
      </c>
      <c r="D41" s="9" t="s">
        <v>577</v>
      </c>
      <c r="E41" s="37" t="s">
        <v>578</v>
      </c>
      <c r="F41" s="32" t="n">
        <v>285.99</v>
      </c>
      <c r="G41" s="13" t="s">
        <v>405</v>
      </c>
      <c r="H41" s="18" t="n">
        <v>1</v>
      </c>
      <c r="I41" s="18" t="n">
        <v>1</v>
      </c>
      <c r="J41" s="30" t="n">
        <f aca="false">F41/H41*I41</f>
        <v>285.99</v>
      </c>
      <c r="K41" s="13" t="s">
        <v>406</v>
      </c>
      <c r="L41" s="38" t="s">
        <v>579</v>
      </c>
    </row>
    <row r="42" customFormat="false" ht="15" hidden="false" customHeight="false" outlineLevel="0" collapsed="false">
      <c r="A42" s="13" t="s">
        <v>365</v>
      </c>
      <c r="B42" s="9" t="s">
        <v>580</v>
      </c>
      <c r="C42" s="13" t="s">
        <v>496</v>
      </c>
      <c r="D42" s="9" t="s">
        <v>581</v>
      </c>
      <c r="E42" s="37" t="s">
        <v>582</v>
      </c>
      <c r="F42" s="32" t="n">
        <v>487.9</v>
      </c>
      <c r="G42" s="13" t="s">
        <v>499</v>
      </c>
      <c r="H42" s="18" t="n">
        <v>1</v>
      </c>
      <c r="I42" s="18" t="n">
        <v>1</v>
      </c>
      <c r="J42" s="30" t="n">
        <f aca="false">F42/H42*I42</f>
        <v>487.9</v>
      </c>
      <c r="K42" s="13" t="s">
        <v>406</v>
      </c>
      <c r="L42" s="38" t="s">
        <v>583</v>
      </c>
    </row>
    <row r="43" customFormat="false" ht="15" hidden="false" customHeight="false" outlineLevel="0" collapsed="false">
      <c r="A43" s="13" t="s">
        <v>365</v>
      </c>
      <c r="B43" s="9" t="s">
        <v>584</v>
      </c>
      <c r="C43" s="13" t="s">
        <v>402</v>
      </c>
      <c r="D43" s="9" t="s">
        <v>585</v>
      </c>
      <c r="E43" s="37" t="s">
        <v>586</v>
      </c>
      <c r="F43" s="32" t="n">
        <v>57.79</v>
      </c>
      <c r="G43" s="13" t="s">
        <v>405</v>
      </c>
      <c r="H43" s="18" t="n">
        <v>1</v>
      </c>
      <c r="I43" s="18" t="n">
        <v>1</v>
      </c>
      <c r="J43" s="30" t="n">
        <f aca="false">F43/H43*I43</f>
        <v>57.79</v>
      </c>
      <c r="K43" s="13" t="s">
        <v>406</v>
      </c>
      <c r="L43" s="38" t="s">
        <v>587</v>
      </c>
    </row>
    <row r="44" customFormat="false" ht="15" hidden="false" customHeight="false" outlineLevel="0" collapsed="false">
      <c r="A44" s="13" t="s">
        <v>365</v>
      </c>
      <c r="B44" s="9" t="s">
        <v>588</v>
      </c>
      <c r="C44" s="13" t="s">
        <v>496</v>
      </c>
      <c r="D44" s="9" t="s">
        <v>589</v>
      </c>
      <c r="E44" s="37" t="s">
        <v>590</v>
      </c>
      <c r="F44" s="32" t="n">
        <v>160</v>
      </c>
      <c r="G44" s="13" t="s">
        <v>499</v>
      </c>
      <c r="H44" s="18" t="n">
        <v>1</v>
      </c>
      <c r="I44" s="18" t="n">
        <v>1</v>
      </c>
      <c r="J44" s="30" t="n">
        <f aca="false">F44/H44*I44</f>
        <v>160</v>
      </c>
      <c r="K44" s="13" t="s">
        <v>406</v>
      </c>
      <c r="L44" s="38" t="s">
        <v>591</v>
      </c>
    </row>
    <row r="45" customFormat="false" ht="15" hidden="false" customHeight="false" outlineLevel="0" collapsed="false">
      <c r="A45" s="13" t="s">
        <v>368</v>
      </c>
      <c r="B45" s="9" t="s">
        <v>592</v>
      </c>
      <c r="C45" s="13" t="s">
        <v>453</v>
      </c>
      <c r="D45" s="9" t="s">
        <v>593</v>
      </c>
      <c r="E45" s="37" t="s">
        <v>594</v>
      </c>
      <c r="F45" s="32" t="n">
        <v>368.1</v>
      </c>
      <c r="G45" s="13" t="s">
        <v>405</v>
      </c>
      <c r="H45" s="18" t="n">
        <v>1</v>
      </c>
      <c r="I45" s="18" t="n">
        <v>1</v>
      </c>
      <c r="J45" s="30" t="n">
        <f aca="false">F45/H45*I45</f>
        <v>368.1</v>
      </c>
      <c r="K45" s="13" t="s">
        <v>406</v>
      </c>
      <c r="L45" s="38" t="s">
        <v>595</v>
      </c>
    </row>
    <row r="46" customFormat="false" ht="23.85" hidden="false" customHeight="false" outlineLevel="0" collapsed="false">
      <c r="A46" s="13" t="s">
        <v>371</v>
      </c>
      <c r="B46" s="9" t="s">
        <v>596</v>
      </c>
      <c r="C46" s="13" t="s">
        <v>453</v>
      </c>
      <c r="D46" s="9" t="s">
        <v>597</v>
      </c>
      <c r="E46" s="37" t="s">
        <v>598</v>
      </c>
      <c r="F46" s="32" t="n">
        <v>342.95</v>
      </c>
      <c r="G46" s="13" t="s">
        <v>405</v>
      </c>
      <c r="H46" s="18" t="n">
        <v>1</v>
      </c>
      <c r="I46" s="18" t="n">
        <v>1</v>
      </c>
      <c r="J46" s="30" t="n">
        <f aca="false">F46/H46*I46</f>
        <v>342.95</v>
      </c>
      <c r="K46" s="13" t="s">
        <v>406</v>
      </c>
      <c r="L46" s="38" t="s">
        <v>599</v>
      </c>
    </row>
    <row r="47" customFormat="false" ht="23.85" hidden="false" customHeight="false" outlineLevel="0" collapsed="false">
      <c r="A47" s="13" t="s">
        <v>371</v>
      </c>
      <c r="B47" s="9" t="s">
        <v>600</v>
      </c>
      <c r="C47" s="13" t="s">
        <v>453</v>
      </c>
      <c r="D47" s="9" t="s">
        <v>601</v>
      </c>
      <c r="E47" s="37" t="s">
        <v>602</v>
      </c>
      <c r="F47" s="32" t="n">
        <v>72.99</v>
      </c>
      <c r="G47" s="13" t="s">
        <v>405</v>
      </c>
      <c r="H47" s="18" t="n">
        <v>1</v>
      </c>
      <c r="I47" s="18" t="n">
        <v>1</v>
      </c>
      <c r="J47" s="30" t="n">
        <f aca="false">F47/H47*I47</f>
        <v>72.99</v>
      </c>
      <c r="K47" s="13" t="s">
        <v>406</v>
      </c>
      <c r="L47" s="38" t="s">
        <v>603</v>
      </c>
    </row>
    <row r="48" customFormat="false" ht="15" hidden="false" customHeight="false" outlineLevel="0" collapsed="false">
      <c r="A48" s="13" t="s">
        <v>371</v>
      </c>
      <c r="B48" s="9" t="s">
        <v>604</v>
      </c>
      <c r="C48" s="13" t="s">
        <v>453</v>
      </c>
      <c r="D48" s="9" t="s">
        <v>605</v>
      </c>
      <c r="E48" s="37" t="s">
        <v>606</v>
      </c>
      <c r="F48" s="32" t="n">
        <v>7.57</v>
      </c>
      <c r="G48" s="13" t="s">
        <v>405</v>
      </c>
      <c r="H48" s="18" t="n">
        <v>1</v>
      </c>
      <c r="I48" s="18" t="n">
        <v>2</v>
      </c>
      <c r="J48" s="30" t="n">
        <f aca="false">F48/H48*I48</f>
        <v>15.14</v>
      </c>
      <c r="K48" s="13" t="s">
        <v>406</v>
      </c>
      <c r="L48" s="38" t="s">
        <v>607</v>
      </c>
    </row>
    <row r="49" customFormat="false" ht="23.85" hidden="false" customHeight="false" outlineLevel="0" collapsed="false">
      <c r="A49" s="13" t="s">
        <v>374</v>
      </c>
      <c r="B49" s="9" t="s">
        <v>608</v>
      </c>
      <c r="C49" s="13" t="s">
        <v>453</v>
      </c>
      <c r="D49" s="9" t="s">
        <v>609</v>
      </c>
      <c r="E49" s="37" t="s">
        <v>610</v>
      </c>
      <c r="F49" s="32" t="n">
        <v>27.4</v>
      </c>
      <c r="G49" s="13" t="s">
        <v>405</v>
      </c>
      <c r="H49" s="18" t="n">
        <v>1</v>
      </c>
      <c r="I49" s="18" t="n">
        <v>1</v>
      </c>
      <c r="J49" s="30" t="n">
        <f aca="false">F49/H49*I49</f>
        <v>27.4</v>
      </c>
      <c r="K49" s="13" t="s">
        <v>406</v>
      </c>
      <c r="L49" s="38" t="s">
        <v>611</v>
      </c>
    </row>
    <row r="50" customFormat="false" ht="15" hidden="false" customHeight="false" outlineLevel="0" collapsed="false">
      <c r="A50" s="13" t="s">
        <v>377</v>
      </c>
      <c r="B50" s="9" t="s">
        <v>612</v>
      </c>
      <c r="C50" s="13" t="s">
        <v>613</v>
      </c>
      <c r="D50" s="9" t="s">
        <v>614</v>
      </c>
      <c r="E50" s="9" t="s">
        <v>615</v>
      </c>
      <c r="F50" s="35" t="n">
        <v>350</v>
      </c>
      <c r="G50" s="34" t="s">
        <v>616</v>
      </c>
      <c r="H50" s="18" t="n">
        <v>1</v>
      </c>
      <c r="I50" s="18" t="n">
        <v>1</v>
      </c>
      <c r="J50" s="30" t="n">
        <f aca="false">F50/H50*I50</f>
        <v>350</v>
      </c>
      <c r="K50" s="13" t="s">
        <v>406</v>
      </c>
      <c r="L50" s="38" t="s">
        <v>617</v>
      </c>
    </row>
    <row r="51" customFormat="false" ht="23.85" hidden="false" customHeight="false" outlineLevel="0" collapsed="false">
      <c r="A51" s="13" t="s">
        <v>387</v>
      </c>
      <c r="B51" s="9" t="s">
        <v>618</v>
      </c>
      <c r="C51" s="13" t="s">
        <v>619</v>
      </c>
      <c r="D51" s="9" t="s">
        <v>620</v>
      </c>
      <c r="E51" s="37" t="s">
        <v>621</v>
      </c>
      <c r="F51" s="32" t="n">
        <v>9.5</v>
      </c>
      <c r="G51" s="13" t="s">
        <v>405</v>
      </c>
      <c r="H51" s="18" t="n">
        <v>1</v>
      </c>
      <c r="I51" s="18" t="n">
        <v>1</v>
      </c>
      <c r="J51" s="30" t="n">
        <f aca="false">F51/H51*I51</f>
        <v>9.5</v>
      </c>
      <c r="K51" s="13" t="s">
        <v>406</v>
      </c>
      <c r="L51" s="38" t="s">
        <v>622</v>
      </c>
    </row>
    <row r="52" customFormat="false" ht="23.85" hidden="false" customHeight="false" outlineLevel="0" collapsed="false">
      <c r="A52" s="13" t="s">
        <v>387</v>
      </c>
      <c r="B52" s="9" t="s">
        <v>623</v>
      </c>
      <c r="C52" s="13" t="s">
        <v>496</v>
      </c>
      <c r="D52" s="9" t="s">
        <v>624</v>
      </c>
      <c r="E52" s="37" t="s">
        <v>625</v>
      </c>
      <c r="F52" s="32" t="n">
        <v>30.91</v>
      </c>
      <c r="G52" s="13" t="s">
        <v>405</v>
      </c>
      <c r="H52" s="18" t="n">
        <v>1</v>
      </c>
      <c r="I52" s="18" t="n">
        <v>0.5</v>
      </c>
      <c r="J52" s="30" t="n">
        <f aca="false">F52/H52*I52</f>
        <v>15.455</v>
      </c>
      <c r="K52" s="13" t="s">
        <v>406</v>
      </c>
      <c r="L52" s="38" t="s">
        <v>626</v>
      </c>
    </row>
    <row r="53" customFormat="false" ht="15" hidden="false" customHeight="false" outlineLevel="0" collapsed="false">
      <c r="A53" s="13" t="s">
        <v>387</v>
      </c>
      <c r="B53" s="9" t="s">
        <v>627</v>
      </c>
      <c r="C53" s="13" t="s">
        <v>402</v>
      </c>
      <c r="D53" s="9" t="s">
        <v>628</v>
      </c>
      <c r="E53" s="37" t="s">
        <v>629</v>
      </c>
      <c r="F53" s="32" t="n">
        <v>3.28</v>
      </c>
      <c r="G53" s="13" t="s">
        <v>405</v>
      </c>
      <c r="H53" s="18" t="n">
        <v>5</v>
      </c>
      <c r="I53" s="18" t="n">
        <v>1</v>
      </c>
      <c r="J53" s="30" t="n">
        <f aca="false">F53/H53*I53</f>
        <v>0.656</v>
      </c>
      <c r="K53" s="13" t="s">
        <v>406</v>
      </c>
      <c r="L53" s="38" t="s">
        <v>630</v>
      </c>
    </row>
    <row r="54" customFormat="false" ht="15" hidden="false" customHeight="false" outlineLevel="0" collapsed="false">
      <c r="A54" s="13" t="s">
        <v>381</v>
      </c>
      <c r="B54" s="9" t="s">
        <v>631</v>
      </c>
      <c r="C54" s="13" t="s">
        <v>632</v>
      </c>
      <c r="D54" s="9" t="s">
        <v>633</v>
      </c>
      <c r="E54" s="37" t="s">
        <v>634</v>
      </c>
      <c r="F54" s="32" t="n">
        <v>35.75</v>
      </c>
      <c r="G54" s="13" t="s">
        <v>405</v>
      </c>
      <c r="H54" s="18" t="n">
        <v>1</v>
      </c>
      <c r="I54" s="18" t="n">
        <v>1</v>
      </c>
      <c r="J54" s="30" t="n">
        <f aca="false">F54/H54*I54</f>
        <v>35.75</v>
      </c>
      <c r="K54" s="13" t="s">
        <v>406</v>
      </c>
      <c r="L54" s="38" t="s">
        <v>635</v>
      </c>
    </row>
    <row r="55" customFormat="false" ht="23.85" hidden="false" customHeight="false" outlineLevel="0" collapsed="false">
      <c r="A55" s="13" t="s">
        <v>381</v>
      </c>
      <c r="B55" s="9" t="s">
        <v>636</v>
      </c>
      <c r="C55" s="13" t="s">
        <v>496</v>
      </c>
      <c r="D55" s="9" t="s">
        <v>624</v>
      </c>
      <c r="E55" s="37" t="s">
        <v>625</v>
      </c>
      <c r="F55" s="32" t="n">
        <v>30.91</v>
      </c>
      <c r="G55" s="13" t="s">
        <v>405</v>
      </c>
      <c r="H55" s="18" t="n">
        <v>1</v>
      </c>
      <c r="I55" s="18" t="n">
        <v>1</v>
      </c>
      <c r="J55" s="30" t="n">
        <f aca="false">F55/H55*I55</f>
        <v>30.91</v>
      </c>
      <c r="K55" s="13" t="s">
        <v>406</v>
      </c>
      <c r="L55" s="38" t="s">
        <v>637</v>
      </c>
    </row>
    <row r="56" customFormat="false" ht="15" hidden="false" customHeight="false" outlineLevel="0" collapsed="false">
      <c r="A56" s="13" t="s">
        <v>384</v>
      </c>
      <c r="B56" s="9" t="s">
        <v>638</v>
      </c>
      <c r="C56" s="13" t="s">
        <v>453</v>
      </c>
      <c r="D56" s="9" t="s">
        <v>639</v>
      </c>
      <c r="E56" s="37" t="s">
        <v>640</v>
      </c>
      <c r="F56" s="32" t="n">
        <v>93.63</v>
      </c>
      <c r="G56" s="13" t="s">
        <v>405</v>
      </c>
      <c r="H56" s="18" t="n">
        <v>1</v>
      </c>
      <c r="I56" s="18" t="n">
        <v>1</v>
      </c>
      <c r="J56" s="30" t="n">
        <f aca="false">F56/H56*I56</f>
        <v>93.63</v>
      </c>
      <c r="K56" s="13" t="s">
        <v>406</v>
      </c>
      <c r="L56" s="38" t="s">
        <v>641</v>
      </c>
    </row>
  </sheetData>
  <hyperlinks>
    <hyperlink ref="E2" r:id="rId1" display="https://www.usinainfo.com.br/display-arduino/modulo-display-tm1637-7-segmentos-4-digitos-vermelho-2943.html"/>
    <hyperlink ref="E3" r:id="rId2" display="https://www.usinainfo.com.br/display-arduino/modulo-display-led-8-digitos-com-interface-controle-spi-max7219-4416.html"/>
    <hyperlink ref="E4" r:id="rId3" display="https://www.makerhero.com/produto/raspberry-pi-pico/"/>
    <hyperlink ref="E5" r:id="rId4" display="https://www.saravati.com.br/modulo-conversor-de-dados-ttl-para-rs485-max485.html"/>
    <hyperlink ref="E6" r:id="rId5" display="https://www.sparkfun.com/w5500-evb-pico.html"/>
    <hyperlink ref="E7" r:id="rId6" display="https://www.mceig.com.br/produto/lrs-150-12-fonte-chaveada-150w-85-264vca-120-373vcc-saida-12vcc-12-5a-mean-well/"/>
    <hyperlink ref="E8" r:id="rId7" display="https://www.mceig.com.br/produto/rsp-150-5-fonte-chaveada-fechada-150w-85-264vca-120-370vcc-saida-5v-30a-mean-well/"/>
    <hyperlink ref="E9" r:id="rId8" display="https://www.saravati.com.br/modulo-mini-conversor-de-tensao-dc-dc-mp1584en-step-down.html"/>
    <hyperlink ref="E10" r:id="rId9" display="https://www.usinainfo.com.br/interruptores-e-pulsadores/interruptor-pulsador-16mm-com-led-vermelho-12-24v-em-aco-inox-impermeavel-3134.html"/>
    <hyperlink ref="E11" r:id="rId10" display="https://www.multcomercial.com.br/conector-jack-rj45-femea-com-8-vias-blindado-90-pci-jl46057.html"/>
    <hyperlink ref="E12" r:id="rId11" display="https://www.kabum.com.br/produto/328777/plug-conector-rj45-macho-cat-5e-8-vias-crimpar-100-unidades-"/>
    <hyperlink ref="E13" r:id="rId12" display="https://www.kabum.com.br/produto/114681/cabo-de-rede-cat-5e-furukawa-305-metros-branco-23200101"/>
    <hyperlink ref="E14" r:id="rId13" display="https://www.usinainfo.com.br/caixas-patola/caixa-patola-pb-075-para-montagem-36-x-60-x-75-mm-4390.html"/>
    <hyperlink ref="E15" r:id="rId14" display="https://www.usinainfo.com.br/caixas-patola/caixa-patola-case-para-montagem-53-x-85-x-124-mm-pb-112-3879.html"/>
    <hyperlink ref="E16" r:id="rId15" display="https://www.eletrogate.com/placa-fenolite-perfurada-7x5cm"/>
    <hyperlink ref="E17" r:id="rId16" display="https://www.baudaeletronica.com.br/produto/borne-kre-kf128-2-vias-verde.html"/>
    <hyperlink ref="E18" r:id="rId17" display="https://www.usinainfo.com.br/caixas-patola/caixa-patola-pb-22070-para-montagem-71-x-228-x-190-mm-4383.html"/>
    <hyperlink ref="E19" r:id="rId18" display="https://www.usinainfo.com.br/coolers-para-pc/cooler-pc-40x40mm-fan-12v-3041.html"/>
    <hyperlink ref="E20" r:id="rId19" display="https://www.usinainfo.com.br/coolers-para-pc/grade-para-cooler-40mm-metalica-8398.html"/>
    <hyperlink ref="E21" r:id="rId20" display="https://www.usinainfo.com.br/caixas-patola/trilho-din-patola-fdo-037-para-projetos-8532.html"/>
    <hyperlink ref="E22" r:id="rId21" display="https://www.leroymerlin.com.br/minidisjuntor-unipolar-2a-mdwp-c2a-weg_1572704659"/>
    <hyperlink ref="E23" r:id="rId22" display="https://www.baudaeletronica.com.br/produto/borne-kre-kf128-2-vias-verde.html"/>
    <hyperlink ref="E24" r:id="rId23" display="https://www.telhanorte.com.br/canaleta-pvc-20x10mm-2m-com-adesivo-preto-forceline-2633671/p"/>
    <hyperlink ref="E25" r:id="rId24" display="https://www.leroymerlin.com.br/abracadeira-de-nylon-200x2,5mm-preta-com-100-pecas-vonder_1567218483"/>
    <hyperlink ref="E26" r:id="rId25" display="https://www.kalunga.com.br/prod/etiqueta-ink-jet-laser-carta-33-9x101-6-6182-pimaco-pt-1400-un/278998"/>
    <hyperlink ref="E27" r:id="rId26" display="https://www.kabum.com.br/produto/429922/switch-tp-link-tl-sg1024de-24-portas-10-100-1000-gigabit-gerenciavel-rack"/>
    <hyperlink ref="E28" r:id="rId27" display="https://loja.lojarfid.com.br/13-56-mhz-mf/etiquetas/etiqueta-rfid-13-56-mhz-nfc-ntag213-branca-100-unidades"/>
    <hyperlink ref="E29" r:id="rId28" display="https://www.kalunga.com.br/prod/fita-adesiva-transparente-pp-45mm-x-45m-stick-tape-pt-4-un/305591"/>
    <hyperlink ref="E30" r:id="rId29" display="https://www.usinainfo.com.br/esp32/esp32-c3-super-mini-com-wifi-e-bluetooth-com-usb-c-8967.html"/>
    <hyperlink ref="E31" r:id="rId30" display="https://www.makerhero.com/produto/kit-modulo-leitor-rfid-nfc-pn532/"/>
    <hyperlink ref="E32" r:id="rId31" display="https://www.robocore.net/loja/baterias/bateria-lipo-1s-530mah-30c"/>
    <hyperlink ref="E33" r:id="rId32" display="https://www.eletrogate.com/modulo-carregador-de-baterias-de-litio-tp4056-com-protecao-usb-c"/>
    <hyperlink ref="E34" r:id="rId33" display="https://www.eletrogate.com/micro-motor-de-vibracao-vibracall"/>
    <hyperlink ref="E35" r:id="rId34" display="https://www.eletrogate.com/push-button-chave-tactil-6x6x6mm"/>
    <hyperlink ref="E36" r:id="rId35" display="https://www.usinainfo.com.br/caixas-patola/caixa-patola-pb-060-para-montagem-29-x-52-x-64-mm-8284.html"/>
    <hyperlink ref="E37" r:id="rId36" display="https://www.leroymerlin.com.br/fita-fecho-de-contato-%7C-organizador-de-cabos-preto-%7C-rolo-10m-x-10mm_1571751164"/>
    <hyperlink ref="E38" r:id="rId37" display="https://www.kabum.com.br/produto/722927/cabo-pp-3x1-00-mm-eletrico-flexivel-preto-50-metros"/>
    <hyperlink ref="E39" r:id="rId38" display="https://www.leroymerlin.com.br/pino-plug-macho-ilumi-prensa-cabo-2p-t-10a-embalagem-com-10-unidades_1568301310"/>
    <hyperlink ref="E40" r:id="rId39" display="https://www.leroymerlin.com.br/protetor-de-surto-dps-classe-ii-iii-20ka-275vca-fase_1570251308"/>
    <hyperlink ref="E41" r:id="rId40" display="https://www.kabum.com.br/produto/386101/kit-cabo-de-rede-nexans-40-metros-alicate-testador-10xrj45-cat5e"/>
    <hyperlink ref="E42" r:id="rId41" display="https://www.leroymerlin.com.br/estacao-de-solda-analogica-60w-220v-hk936a-preta-hikari_1566757438"/>
    <hyperlink ref="E43" r:id="rId42" display="https://www.usinainfo.com.br/multimetros/multimetro-digital-hikari-hm-1001-cat-i-1000v-5502.html"/>
    <hyperlink ref="E44" r:id="rId43" display="https://www.leroymerlin.com.br/solda-estanho-cobix-1-0mm-60x40-500g_1566817011"/>
    <hyperlink ref="E45" r:id="rId44" display="https://www.kabum.com.br/produto/229971/nobreak-intelbras-xnb-720va-bivolt-4822010"/>
    <hyperlink ref="E46" r:id="rId45" display="https://www.kabum.com.br/produto/291255/mini-rack-05u-x-19p-x-370mm-montado-mrm-537-preto-intelbras"/>
    <hyperlink ref="E47" r:id="rId46" display="https://www.kabum.com.br/produto/235380/organizador-de-cabos-intelbras-para-rack-1u-40-mm-och1u-40"/>
    <hyperlink ref="E48" r:id="rId47" display="https://www.kabum.com.br/produto/233241/cabo-de-rede-md9-patch-cord-1-5m-azul-cat5e"/>
    <hyperlink ref="E49" r:id="rId48" display="https://www.kabum.com.br/produto/394690/carregador-de-tomada-universal-usb-kaidi-carregador-domestico-2-portas-branco-kd-301"/>
    <hyperlink ref="E51" r:id="rId49" display="https://www.luzautomacao.com.br/produto/sinaleiro-led-22mm-12v-amarelo-metaltex"/>
    <hyperlink ref="E52" r:id="rId50" display="https://www.leroymerlin.com.br/perfil-aluminio-preto-l-013-cantoneira-1-pol-25mm-acabamento-canto-parede-barra-1-mt_1572585517"/>
    <hyperlink ref="E53" r:id="rId51" display="https://www.usinainfo.com.br/transistor-bc/transistor-bc337-para-projetos-kit-com-5-unidades-2998.html"/>
    <hyperlink ref="E54" r:id="rId52" display="https://www.keymoveis.com.br/plano-de-mdf-cru-120x60"/>
    <hyperlink ref="E55" r:id="rId53" display="https://www.leroymerlin.com.br/perfil-aluminio-preto-l-013-cantoneira-1-pol-25mm-acabamento-canto-parede-barra-1-mt_1572585517"/>
    <hyperlink ref="E56" r:id="rId54" display="https://www.kabum.com.br/produto/205611/switch-5-portas-10-100-1000-gigabit-mesa-tl-sg1005d-tp-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642</v>
      </c>
      <c r="B1" s="7" t="s">
        <v>236</v>
      </c>
      <c r="C1" s="7" t="s">
        <v>237</v>
      </c>
      <c r="D1" s="7" t="s">
        <v>643</v>
      </c>
      <c r="E1" s="7" t="s">
        <v>644</v>
      </c>
      <c r="F1" s="7" t="s">
        <v>645</v>
      </c>
    </row>
    <row r="2" customFormat="false" ht="15" hidden="false" customHeight="false" outlineLevel="0" collapsed="false">
      <c r="A2" s="13" t="s">
        <v>646</v>
      </c>
      <c r="B2" s="13" t="s">
        <v>242</v>
      </c>
      <c r="C2" s="39" t="str">
        <f aca="false">INDEX(Preços!$B:$B,MATCH(B2,Preços!$A:$A,0))</f>
        <v>Display 7 segmentos 4 dígitos TM1637 (usa 3 dígitos, quantidade)</v>
      </c>
      <c r="D2" s="18" t="n">
        <v>1</v>
      </c>
      <c r="E2" s="40" t="n">
        <f aca="false">INDEX(Preços!$D:$D,MATCH(B2,Preços!$A:$A,0))</f>
        <v>10.97</v>
      </c>
      <c r="F2" s="30" t="n">
        <f aca="false">D2*E2</f>
        <v>10.97</v>
      </c>
    </row>
    <row r="3" customFormat="false" ht="15" hidden="false" customHeight="false" outlineLevel="0" collapsed="false">
      <c r="A3" s="13" t="s">
        <v>646</v>
      </c>
      <c r="B3" s="13" t="s">
        <v>267</v>
      </c>
      <c r="C3" s="39" t="str">
        <f aca="false">INDEX(Preços!$B:$B,MATCH(B3,Preços!$A:$A,0))</f>
        <v>Botão de confirmação metálico 16 mm com LED 12-24 V (pulsador)</v>
      </c>
      <c r="D3" s="18" t="n">
        <v>1</v>
      </c>
      <c r="E3" s="40" t="n">
        <f aca="false">INDEX(Preços!$D:$D,MATCH(B3,Preços!$A:$A,0))</f>
        <v>20.75</v>
      </c>
      <c r="F3" s="30" t="n">
        <f aca="false">D3*E3</f>
        <v>20.75</v>
      </c>
    </row>
    <row r="4" customFormat="false" ht="15" hidden="false" customHeight="false" outlineLevel="0" collapsed="false">
      <c r="A4" s="13" t="s">
        <v>646</v>
      </c>
      <c r="B4" s="13" t="s">
        <v>279</v>
      </c>
      <c r="C4" s="39" t="str">
        <f aca="false">INDEX(Preços!$B:$B,MATCH(B4,Preços!$A:$A,0))</f>
        <v>Carcaça do Módulo Q (caixa Patola PB-075, 36 × 60 × 75 mm)</v>
      </c>
      <c r="D4" s="18" t="n">
        <v>1</v>
      </c>
      <c r="E4" s="40" t="n">
        <f aca="false">INDEX(Preços!$D:$D,MATCH(B4,Preços!$A:$A,0))</f>
        <v>12.34</v>
      </c>
      <c r="F4" s="30" t="n">
        <f aca="false">D4*E4</f>
        <v>12.34</v>
      </c>
    </row>
    <row r="5" customFormat="false" ht="15" hidden="false" customHeight="false" outlineLevel="0" collapsed="false">
      <c r="A5" s="13" t="s">
        <v>646</v>
      </c>
      <c r="B5" s="13" t="s">
        <v>270</v>
      </c>
      <c r="C5" s="39" t="str">
        <f aca="false">INDEX(Preços!$B:$B,MATCH(B5,Preços!$A:$A,0))</f>
        <v>Conector RJ45 fêmea para placa (90°)</v>
      </c>
      <c r="D5" s="18" t="n">
        <v>1</v>
      </c>
      <c r="E5" s="40" t="n">
        <f aca="false">INDEX(Preços!$D:$D,MATCH(B5,Preços!$A:$A,0))</f>
        <v>4.5</v>
      </c>
      <c r="F5" s="30" t="n">
        <f aca="false">D5*E5</f>
        <v>4.5</v>
      </c>
    </row>
    <row r="6" customFormat="false" ht="15" hidden="false" customHeight="false" outlineLevel="0" collapsed="false">
      <c r="A6" s="13" t="s">
        <v>646</v>
      </c>
      <c r="B6" s="13" t="s">
        <v>276</v>
      </c>
      <c r="C6" s="39" t="str">
        <f aca="false">INDEX(Preços!$B:$B,MATCH(B6,Preços!$A:$A,0))</f>
        <v>Cabo Cat5e (por metro)</v>
      </c>
      <c r="D6" s="18" t="n">
        <v>2</v>
      </c>
      <c r="E6" s="40" t="n">
        <f aca="false">INDEX(Preços!$D:$D,MATCH(B6,Preços!$A:$A,0))</f>
        <v>2.62262295081967</v>
      </c>
      <c r="F6" s="30" t="n">
        <f aca="false">D6*E6</f>
        <v>5.24524590163934</v>
      </c>
    </row>
    <row r="7" customFormat="false" ht="15" hidden="false" customHeight="false" outlineLevel="0" collapsed="false">
      <c r="A7" s="13" t="s">
        <v>646</v>
      </c>
      <c r="B7" s="13" t="s">
        <v>273</v>
      </c>
      <c r="C7" s="39" t="str">
        <f aca="false">INDEX(Preços!$B:$B,MATCH(B7,Preços!$A:$A,0))</f>
        <v>Plug RJ45 Cat5e (macho)</v>
      </c>
      <c r="D7" s="18" t="n">
        <v>2</v>
      </c>
      <c r="E7" s="40" t="n">
        <f aca="false">INDEX(Preços!$D:$D,MATCH(B7,Preços!$A:$A,0))</f>
        <v>0.7099</v>
      </c>
      <c r="F7" s="30" t="n">
        <f aca="false">D7*E7</f>
        <v>1.4198</v>
      </c>
    </row>
    <row r="8" customFormat="false" ht="15" hidden="false" customHeight="false" outlineLevel="0" collapsed="false">
      <c r="A8" s="14" t="s">
        <v>647</v>
      </c>
      <c r="B8" s="16"/>
      <c r="C8" s="16"/>
      <c r="D8" s="16"/>
      <c r="E8" s="16"/>
      <c r="F8" s="41" t="n">
        <f aca="false">SUM(F2:F7)</f>
        <v>55.2250459016394</v>
      </c>
    </row>
    <row r="10" customFormat="false" ht="15" hidden="false" customHeight="false" outlineLevel="0" collapsed="false">
      <c r="A10" s="13" t="s">
        <v>648</v>
      </c>
      <c r="B10" s="13" t="s">
        <v>249</v>
      </c>
      <c r="C10" s="39" t="str">
        <f aca="false">INDEX(Preços!$B:$B,MATCH(B10,Preços!$A:$A,0))</f>
        <v>Microcontrolador Raspberry Pi Pico (RP2040)</v>
      </c>
      <c r="D10" s="18" t="n">
        <v>1</v>
      </c>
      <c r="E10" s="40" t="n">
        <f aca="false">INDEX(Preços!$D:$D,MATCH(B10,Preços!$A:$A,0))</f>
        <v>37.9</v>
      </c>
      <c r="F10" s="30" t="n">
        <f aca="false">D10*E10</f>
        <v>37.9</v>
      </c>
    </row>
    <row r="11" customFormat="false" ht="15" hidden="false" customHeight="false" outlineLevel="0" collapsed="false">
      <c r="A11" s="13" t="s">
        <v>648</v>
      </c>
      <c r="B11" s="13" t="s">
        <v>252</v>
      </c>
      <c r="C11" s="39" t="str">
        <f aca="false">INDEX(Preços!$B:$B,MATCH(B11,Preços!$A:$A,0))</f>
        <v>Módulo transceptor RS-485 (MAX485)</v>
      </c>
      <c r="D11" s="18" t="n">
        <v>1</v>
      </c>
      <c r="E11" s="40" t="n">
        <f aca="false">INDEX(Preços!$D:$D,MATCH(B11,Preços!$A:$A,0))</f>
        <v>8.9</v>
      </c>
      <c r="F11" s="30" t="n">
        <f aca="false">D11*E11</f>
        <v>8.9</v>
      </c>
    </row>
    <row r="12" customFormat="false" ht="15" hidden="false" customHeight="false" outlineLevel="0" collapsed="false">
      <c r="A12" s="13" t="s">
        <v>648</v>
      </c>
      <c r="B12" s="13" t="s">
        <v>264</v>
      </c>
      <c r="C12" s="39" t="str">
        <f aca="false">INDEX(Preços!$B:$B,MATCH(B12,Preços!$A:$A,0))</f>
        <v>Regulador step-down 12 V → 5 V (MP1584, 3 A)</v>
      </c>
      <c r="D12" s="18" t="n">
        <v>1</v>
      </c>
      <c r="E12" s="40" t="n">
        <f aca="false">INDEX(Preços!$D:$D,MATCH(B12,Preços!$A:$A,0))</f>
        <v>10.9</v>
      </c>
      <c r="F12" s="30" t="n">
        <f aca="false">D12*E12</f>
        <v>10.9</v>
      </c>
    </row>
    <row r="13" customFormat="false" ht="15" hidden="false" customHeight="false" outlineLevel="0" collapsed="false">
      <c r="A13" s="13" t="s">
        <v>648</v>
      </c>
      <c r="B13" s="13" t="s">
        <v>285</v>
      </c>
      <c r="C13" s="39" t="str">
        <f aca="false">INDEX(Preços!$B:$B,MATCH(B13,Preços!$A:$A,0))</f>
        <v>Placa base perfurada 7 × 5 cm + 2 bornes KRE (nó / módulo E+Q)</v>
      </c>
      <c r="D13" s="18" t="n">
        <v>1</v>
      </c>
      <c r="E13" s="40" t="n">
        <f aca="false">INDEX(Preços!$D:$D,MATCH(B13,Preços!$A:$A,0))</f>
        <v>4.72</v>
      </c>
      <c r="F13" s="30" t="n">
        <f aca="false">D13*E13</f>
        <v>4.72</v>
      </c>
    </row>
    <row r="14" customFormat="false" ht="15" hidden="false" customHeight="false" outlineLevel="0" collapsed="false">
      <c r="A14" s="13" t="s">
        <v>648</v>
      </c>
      <c r="B14" s="13" t="s">
        <v>270</v>
      </c>
      <c r="C14" s="39" t="str">
        <f aca="false">INDEX(Preços!$B:$B,MATCH(B14,Preços!$A:$A,0))</f>
        <v>Conector RJ45 fêmea para placa (90°)</v>
      </c>
      <c r="D14" s="18" t="n">
        <v>6</v>
      </c>
      <c r="E14" s="40" t="n">
        <f aca="false">INDEX(Preços!$D:$D,MATCH(B14,Preços!$A:$A,0))</f>
        <v>4.5</v>
      </c>
      <c r="F14" s="30" t="n">
        <f aca="false">D14*E14</f>
        <v>27</v>
      </c>
    </row>
    <row r="15" customFormat="false" ht="23.85" hidden="false" customHeight="false" outlineLevel="0" collapsed="false">
      <c r="A15" s="13" t="s">
        <v>648</v>
      </c>
      <c r="B15" s="13" t="s">
        <v>282</v>
      </c>
      <c r="C15" s="39" t="str">
        <f aca="false">INDEX(Preços!$B:$B,MATCH(B15,Preços!$A:$A,0))</f>
        <v>Carcaça do Módulo E+Q / Nó de coluna (caixa Patola PB-112, 53 × 85 × 124 mm)</v>
      </c>
      <c r="D15" s="18" t="n">
        <v>1</v>
      </c>
      <c r="E15" s="40" t="n">
        <f aca="false">INDEX(Preços!$D:$D,MATCH(B15,Preços!$A:$A,0))</f>
        <v>28.17</v>
      </c>
      <c r="F15" s="30" t="n">
        <f aca="false">D15*E15</f>
        <v>28.17</v>
      </c>
    </row>
    <row r="16" customFormat="false" ht="15" hidden="false" customHeight="false" outlineLevel="0" collapsed="false">
      <c r="A16" s="14" t="s">
        <v>649</v>
      </c>
      <c r="B16" s="16"/>
      <c r="C16" s="16"/>
      <c r="D16" s="16"/>
      <c r="E16" s="16"/>
      <c r="F16" s="41" t="n">
        <f aca="false">SUM(F10:F15)</f>
        <v>117.59</v>
      </c>
    </row>
    <row r="18" customFormat="false" ht="15" hidden="false" customHeight="false" outlineLevel="0" collapsed="false">
      <c r="A18" s="13" t="s">
        <v>650</v>
      </c>
      <c r="B18" s="13" t="s">
        <v>246</v>
      </c>
      <c r="C18" s="39" t="str">
        <f aca="false">INDEX(Preços!$B:$B,MATCH(B18,Preços!$A:$A,0))</f>
        <v>Display 7 segmentos 8 dígitos MAX7219 (endereço)</v>
      </c>
      <c r="D18" s="18" t="n">
        <v>1</v>
      </c>
      <c r="E18" s="40" t="n">
        <f aca="false">INDEX(Preços!$D:$D,MATCH(B18,Preços!$A:$A,0))</f>
        <v>20.17</v>
      </c>
      <c r="F18" s="30" t="n">
        <f aca="false">D18*E18</f>
        <v>20.17</v>
      </c>
    </row>
    <row r="19" customFormat="false" ht="15" hidden="false" customHeight="false" outlineLevel="0" collapsed="false">
      <c r="A19" s="13" t="s">
        <v>650</v>
      </c>
      <c r="B19" s="13" t="s">
        <v>242</v>
      </c>
      <c r="C19" s="39" t="str">
        <f aca="false">INDEX(Preços!$B:$B,MATCH(B19,Preços!$A:$A,0))</f>
        <v>Display 7 segmentos 4 dígitos TM1637 (usa 3 dígitos, quantidade)</v>
      </c>
      <c r="D19" s="18" t="n">
        <v>1</v>
      </c>
      <c r="E19" s="40" t="n">
        <f aca="false">INDEX(Preços!$D:$D,MATCH(B19,Preços!$A:$A,0))</f>
        <v>10.97</v>
      </c>
      <c r="F19" s="30" t="n">
        <f aca="false">D19*E19</f>
        <v>10.97</v>
      </c>
    </row>
    <row r="20" customFormat="false" ht="15" hidden="false" customHeight="false" outlineLevel="0" collapsed="false">
      <c r="A20" s="13" t="s">
        <v>650</v>
      </c>
      <c r="B20" s="13" t="s">
        <v>249</v>
      </c>
      <c r="C20" s="39" t="str">
        <f aca="false">INDEX(Preços!$B:$B,MATCH(B20,Preços!$A:$A,0))</f>
        <v>Microcontrolador Raspberry Pi Pico (RP2040)</v>
      </c>
      <c r="D20" s="18" t="n">
        <v>1</v>
      </c>
      <c r="E20" s="40" t="n">
        <f aca="false">INDEX(Preços!$D:$D,MATCH(B20,Preços!$A:$A,0))</f>
        <v>37.9</v>
      </c>
      <c r="F20" s="30" t="n">
        <f aca="false">D20*E20</f>
        <v>37.9</v>
      </c>
    </row>
    <row r="21" customFormat="false" ht="15" hidden="false" customHeight="false" outlineLevel="0" collapsed="false">
      <c r="A21" s="13" t="s">
        <v>650</v>
      </c>
      <c r="B21" s="13" t="s">
        <v>252</v>
      </c>
      <c r="C21" s="39" t="str">
        <f aca="false">INDEX(Preços!$B:$B,MATCH(B21,Preços!$A:$A,0))</f>
        <v>Módulo transceptor RS-485 (MAX485)</v>
      </c>
      <c r="D21" s="18" t="n">
        <v>1</v>
      </c>
      <c r="E21" s="40" t="n">
        <f aca="false">INDEX(Preços!$D:$D,MATCH(B21,Preços!$A:$A,0))</f>
        <v>8.9</v>
      </c>
      <c r="F21" s="30" t="n">
        <f aca="false">D21*E21</f>
        <v>8.9</v>
      </c>
    </row>
    <row r="22" customFormat="false" ht="15" hidden="false" customHeight="false" outlineLevel="0" collapsed="false">
      <c r="A22" s="13" t="s">
        <v>650</v>
      </c>
      <c r="B22" s="13" t="s">
        <v>264</v>
      </c>
      <c r="C22" s="39" t="str">
        <f aca="false">INDEX(Preços!$B:$B,MATCH(B22,Preços!$A:$A,0))</f>
        <v>Regulador step-down 12 V → 5 V (MP1584, 3 A)</v>
      </c>
      <c r="D22" s="18" t="n">
        <v>1</v>
      </c>
      <c r="E22" s="40" t="n">
        <f aca="false">INDEX(Preços!$D:$D,MATCH(B22,Preços!$A:$A,0))</f>
        <v>10.9</v>
      </c>
      <c r="F22" s="30" t="n">
        <f aca="false">D22*E22</f>
        <v>10.9</v>
      </c>
    </row>
    <row r="23" customFormat="false" ht="15" hidden="false" customHeight="false" outlineLevel="0" collapsed="false">
      <c r="A23" s="13" t="s">
        <v>650</v>
      </c>
      <c r="B23" s="13" t="s">
        <v>267</v>
      </c>
      <c r="C23" s="39" t="str">
        <f aca="false">INDEX(Preços!$B:$B,MATCH(B23,Preços!$A:$A,0))</f>
        <v>Botão de confirmação metálico 16 mm com LED 12-24 V (pulsador)</v>
      </c>
      <c r="D23" s="18" t="n">
        <v>1</v>
      </c>
      <c r="E23" s="40" t="n">
        <f aca="false">INDEX(Preços!$D:$D,MATCH(B23,Preços!$A:$A,0))</f>
        <v>20.75</v>
      </c>
      <c r="F23" s="30" t="n">
        <f aca="false">D23*E23</f>
        <v>20.75</v>
      </c>
    </row>
    <row r="24" customFormat="false" ht="15" hidden="false" customHeight="false" outlineLevel="0" collapsed="false">
      <c r="A24" s="13" t="s">
        <v>650</v>
      </c>
      <c r="B24" s="13" t="s">
        <v>270</v>
      </c>
      <c r="C24" s="39" t="str">
        <f aca="false">INDEX(Preços!$B:$B,MATCH(B24,Preços!$A:$A,0))</f>
        <v>Conector RJ45 fêmea para placa (90°)</v>
      </c>
      <c r="D24" s="18" t="n">
        <v>2</v>
      </c>
      <c r="E24" s="40" t="n">
        <f aca="false">INDEX(Preços!$D:$D,MATCH(B24,Preços!$A:$A,0))</f>
        <v>4.5</v>
      </c>
      <c r="F24" s="30" t="n">
        <f aca="false">D24*E24</f>
        <v>9</v>
      </c>
    </row>
    <row r="25" customFormat="false" ht="23.85" hidden="false" customHeight="false" outlineLevel="0" collapsed="false">
      <c r="A25" s="13" t="s">
        <v>650</v>
      </c>
      <c r="B25" s="13" t="s">
        <v>282</v>
      </c>
      <c r="C25" s="39" t="str">
        <f aca="false">INDEX(Preços!$B:$B,MATCH(B25,Preços!$A:$A,0))</f>
        <v>Carcaça do Módulo E+Q / Nó de coluna (caixa Patola PB-112, 53 × 85 × 124 mm)</v>
      </c>
      <c r="D25" s="18" t="n">
        <v>1</v>
      </c>
      <c r="E25" s="40" t="n">
        <f aca="false">INDEX(Preços!$D:$D,MATCH(B25,Preços!$A:$A,0))</f>
        <v>28.17</v>
      </c>
      <c r="F25" s="30" t="n">
        <f aca="false">D25*E25</f>
        <v>28.17</v>
      </c>
    </row>
    <row r="26" customFormat="false" ht="15" hidden="false" customHeight="false" outlineLevel="0" collapsed="false">
      <c r="A26" s="13" t="s">
        <v>650</v>
      </c>
      <c r="B26" s="13" t="s">
        <v>285</v>
      </c>
      <c r="C26" s="39" t="str">
        <f aca="false">INDEX(Preços!$B:$B,MATCH(B26,Preços!$A:$A,0))</f>
        <v>Placa base perfurada 7 × 5 cm + 2 bornes KRE (nó / módulo E+Q)</v>
      </c>
      <c r="D26" s="18" t="n">
        <v>1</v>
      </c>
      <c r="E26" s="40" t="n">
        <f aca="false">INDEX(Preços!$D:$D,MATCH(B26,Preços!$A:$A,0))</f>
        <v>4.72</v>
      </c>
      <c r="F26" s="30" t="n">
        <f aca="false">D26*E26</f>
        <v>4.72</v>
      </c>
    </row>
    <row r="27" customFormat="false" ht="15" hidden="false" customHeight="false" outlineLevel="0" collapsed="false">
      <c r="A27" s="14" t="s">
        <v>651</v>
      </c>
      <c r="B27" s="16"/>
      <c r="C27" s="16"/>
      <c r="D27" s="16"/>
      <c r="E27" s="16"/>
      <c r="F27" s="41" t="n">
        <f aca="false">SUM(F18:F26)</f>
        <v>151.48</v>
      </c>
    </row>
    <row r="29" customFormat="false" ht="15" hidden="false" customHeight="false" outlineLevel="0" collapsed="false">
      <c r="A29" s="13" t="s">
        <v>652</v>
      </c>
      <c r="B29" s="13" t="s">
        <v>255</v>
      </c>
      <c r="C29" s="39" t="str">
        <f aca="false">INDEX(Preços!$B:$B,MATCH(B29,Preços!$A:$A,0))</f>
        <v>Placa do concentrador RP2040 + Ethernet W5500 (W5500-EVB-Pico)</v>
      </c>
      <c r="D29" s="18" t="n">
        <v>1</v>
      </c>
      <c r="E29" s="40" t="n">
        <f aca="false">INDEX(Preços!$D:$D,MATCH(B29,Preços!$A:$A,0))</f>
        <v>119.631125</v>
      </c>
      <c r="F29" s="30" t="n">
        <f aca="false">D29*E29</f>
        <v>119.631125</v>
      </c>
    </row>
    <row r="30" customFormat="false" ht="15" hidden="false" customHeight="false" outlineLevel="0" collapsed="false">
      <c r="A30" s="13" t="s">
        <v>652</v>
      </c>
      <c r="B30" s="13" t="s">
        <v>252</v>
      </c>
      <c r="C30" s="39" t="str">
        <f aca="false">INDEX(Preços!$B:$B,MATCH(B30,Preços!$A:$A,0))</f>
        <v>Módulo transceptor RS-485 (MAX485)</v>
      </c>
      <c r="D30" s="18" t="n">
        <v>2</v>
      </c>
      <c r="E30" s="40" t="n">
        <f aca="false">INDEX(Preços!$D:$D,MATCH(B30,Preços!$A:$A,0))</f>
        <v>8.9</v>
      </c>
      <c r="F30" s="30" t="n">
        <f aca="false">D30*E30</f>
        <v>17.8</v>
      </c>
    </row>
    <row r="31" customFormat="false" ht="15" hidden="false" customHeight="false" outlineLevel="0" collapsed="false">
      <c r="A31" s="13" t="s">
        <v>652</v>
      </c>
      <c r="B31" s="13" t="s">
        <v>258</v>
      </c>
      <c r="C31" s="39" t="str">
        <f aca="false">INDEX(Preços!$B:$B,MATCH(B31,Preços!$A:$A,0))</f>
        <v>Fonte Mean Well LRS-150-12 (12 V / 12,5 A / 150 W)</v>
      </c>
      <c r="D31" s="18" t="n">
        <v>1</v>
      </c>
      <c r="E31" s="40" t="n">
        <f aca="false">INDEX(Preços!$D:$D,MATCH(B31,Preços!$A:$A,0))</f>
        <v>189.98</v>
      </c>
      <c r="F31" s="30" t="n">
        <f aca="false">D31*E31</f>
        <v>189.98</v>
      </c>
    </row>
    <row r="32" customFormat="false" ht="15" hidden="false" customHeight="false" outlineLevel="0" collapsed="false">
      <c r="A32" s="13" t="s">
        <v>652</v>
      </c>
      <c r="B32" s="13" t="s">
        <v>264</v>
      </c>
      <c r="C32" s="39" t="str">
        <f aca="false">INDEX(Preços!$B:$B,MATCH(B32,Preços!$A:$A,0))</f>
        <v>Regulador step-down 12 V → 5 V (MP1584, 3 A)</v>
      </c>
      <c r="D32" s="18" t="n">
        <v>1</v>
      </c>
      <c r="E32" s="40" t="n">
        <f aca="false">INDEX(Preços!$D:$D,MATCH(B32,Preços!$A:$A,0))</f>
        <v>10.9</v>
      </c>
      <c r="F32" s="30" t="n">
        <f aca="false">D32*E32</f>
        <v>10.9</v>
      </c>
    </row>
    <row r="33" customFormat="false" ht="23.85" hidden="false" customHeight="false" outlineLevel="0" collapsed="false">
      <c r="A33" s="13" t="s">
        <v>652</v>
      </c>
      <c r="B33" s="13" t="s">
        <v>288</v>
      </c>
      <c r="C33" s="39" t="str">
        <f aca="false">INDEX(Preços!$B:$B,MATCH(B33,Preços!$A:$A,0))</f>
        <v>Gabinete do concentrador (caixa Patola PB-220/70 + cooler 40 mm 12 V + grade)</v>
      </c>
      <c r="D33" s="18" t="n">
        <v>1</v>
      </c>
      <c r="E33" s="40" t="n">
        <f aca="false">INDEX(Preços!$D:$D,MATCH(B33,Preços!$A:$A,0))</f>
        <v>187.52</v>
      </c>
      <c r="F33" s="30" t="n">
        <f aca="false">D33*E33</f>
        <v>187.52</v>
      </c>
    </row>
    <row r="34" customFormat="false" ht="15" hidden="false" customHeight="false" outlineLevel="0" collapsed="false">
      <c r="A34" s="13" t="s">
        <v>652</v>
      </c>
      <c r="B34" s="13" t="s">
        <v>291</v>
      </c>
      <c r="C34" s="39" t="str">
        <f aca="false">INDEX(Preços!$B:$B,MATCH(B34,Preços!$A:$A,0))</f>
        <v>Trilho DIN + disjuntor 2 A + bornes</v>
      </c>
      <c r="D34" s="18" t="n">
        <v>1</v>
      </c>
      <c r="E34" s="40" t="n">
        <f aca="false">INDEX(Preços!$D:$D,MATCH(B34,Preços!$A:$A,0))</f>
        <v>40.7</v>
      </c>
      <c r="F34" s="30" t="n">
        <f aca="false">D34*E34</f>
        <v>40.7</v>
      </c>
    </row>
    <row r="35" customFormat="false" ht="15" hidden="false" customHeight="false" outlineLevel="0" collapsed="false">
      <c r="A35" s="13" t="s">
        <v>652</v>
      </c>
      <c r="B35" s="13" t="s">
        <v>270</v>
      </c>
      <c r="C35" s="39" t="str">
        <f aca="false">INDEX(Preços!$B:$B,MATCH(B35,Preços!$A:$A,0))</f>
        <v>Conector RJ45 fêmea para placa (90°)</v>
      </c>
      <c r="D35" s="18" t="n">
        <v>2</v>
      </c>
      <c r="E35" s="40" t="n">
        <f aca="false">INDEX(Preços!$D:$D,MATCH(B35,Preços!$A:$A,0))</f>
        <v>4.5</v>
      </c>
      <c r="F35" s="30" t="n">
        <f aca="false">D35*E35</f>
        <v>9</v>
      </c>
    </row>
    <row r="36" customFormat="false" ht="15" hidden="false" customHeight="false" outlineLevel="0" collapsed="false">
      <c r="A36" s="13" t="s">
        <v>652</v>
      </c>
      <c r="B36" s="13" t="s">
        <v>353</v>
      </c>
      <c r="C36" s="39" t="str">
        <f aca="false">INDEX(Preços!$B:$B,MATCH(B36,Preços!$A:$A,0))</f>
        <v>Cabo PP 3 × 1,0 mm² (por metro)</v>
      </c>
      <c r="D36" s="18" t="n">
        <v>3</v>
      </c>
      <c r="E36" s="40" t="n">
        <f aca="false">INDEX(Preços!$D:$D,MATCH(B36,Preços!$A:$A,0))</f>
        <v>9.2378</v>
      </c>
      <c r="F36" s="30" t="n">
        <f aca="false">D36*E36</f>
        <v>27.7134</v>
      </c>
    </row>
    <row r="37" customFormat="false" ht="15" hidden="false" customHeight="false" outlineLevel="0" collapsed="false">
      <c r="A37" s="13" t="s">
        <v>652</v>
      </c>
      <c r="B37" s="13" t="s">
        <v>356</v>
      </c>
      <c r="C37" s="39" t="str">
        <f aca="false">INDEX(Preços!$B:$B,MATCH(B37,Preços!$A:$A,0))</f>
        <v>Plugue 2P+T 10 A com prensa-cabo</v>
      </c>
      <c r="D37" s="18" t="n">
        <v>1</v>
      </c>
      <c r="E37" s="40" t="n">
        <f aca="false">INDEX(Preços!$D:$D,MATCH(B37,Preços!$A:$A,0))</f>
        <v>6.495</v>
      </c>
      <c r="F37" s="30" t="n">
        <f aca="false">D37*E37</f>
        <v>6.495</v>
      </c>
    </row>
    <row r="38" customFormat="false" ht="15" hidden="false" customHeight="false" outlineLevel="0" collapsed="false">
      <c r="A38" s="13" t="s">
        <v>652</v>
      </c>
      <c r="B38" s="13" t="s">
        <v>359</v>
      </c>
      <c r="C38" s="39" t="str">
        <f aca="false">INDEX(Preços!$B:$B,MATCH(B38,Preços!$A:$A,0))</f>
        <v>DPS / protetor de surto 275 V 20 kA</v>
      </c>
      <c r="D38" s="18" t="n">
        <v>1</v>
      </c>
      <c r="E38" s="40" t="n">
        <f aca="false">INDEX(Preços!$D:$D,MATCH(B38,Preços!$A:$A,0))</f>
        <v>64</v>
      </c>
      <c r="F38" s="30" t="n">
        <f aca="false">D38*E38</f>
        <v>64</v>
      </c>
    </row>
    <row r="39" customFormat="false" ht="15" hidden="false" customHeight="false" outlineLevel="0" collapsed="false">
      <c r="A39" s="14" t="s">
        <v>653</v>
      </c>
      <c r="B39" s="16"/>
      <c r="C39" s="16"/>
      <c r="D39" s="16"/>
      <c r="E39" s="16"/>
      <c r="F39" s="41" t="n">
        <f aca="false">SUM(F29:F38)</f>
        <v>673.739525</v>
      </c>
    </row>
    <row r="41" customFormat="false" ht="15" hidden="false" customHeight="false" outlineLevel="0" collapsed="false">
      <c r="A41" s="13" t="s">
        <v>654</v>
      </c>
      <c r="B41" s="13" t="s">
        <v>255</v>
      </c>
      <c r="C41" s="39" t="str">
        <f aca="false">INDEX(Preços!$B:$B,MATCH(B41,Preços!$A:$A,0))</f>
        <v>Placa do concentrador RP2040 + Ethernet W5500 (W5500-EVB-Pico)</v>
      </c>
      <c r="D41" s="18" t="n">
        <v>1</v>
      </c>
      <c r="E41" s="40" t="n">
        <f aca="false">INDEX(Preços!$D:$D,MATCH(B41,Preços!$A:$A,0))</f>
        <v>119.631125</v>
      </c>
      <c r="F41" s="30" t="n">
        <f aca="false">D41*E41</f>
        <v>119.631125</v>
      </c>
    </row>
    <row r="42" customFormat="false" ht="15" hidden="false" customHeight="false" outlineLevel="0" collapsed="false">
      <c r="A42" s="13" t="s">
        <v>654</v>
      </c>
      <c r="B42" s="13" t="s">
        <v>252</v>
      </c>
      <c r="C42" s="39" t="str">
        <f aca="false">INDEX(Preços!$B:$B,MATCH(B42,Preços!$A:$A,0))</f>
        <v>Módulo transceptor RS-485 (MAX485)</v>
      </c>
      <c r="D42" s="18" t="n">
        <v>2</v>
      </c>
      <c r="E42" s="40" t="n">
        <f aca="false">INDEX(Preços!$D:$D,MATCH(B42,Preços!$A:$A,0))</f>
        <v>8.9</v>
      </c>
      <c r="F42" s="30" t="n">
        <f aca="false">D42*E42</f>
        <v>17.8</v>
      </c>
    </row>
    <row r="43" customFormat="false" ht="15" hidden="false" customHeight="false" outlineLevel="0" collapsed="false">
      <c r="A43" s="13" t="s">
        <v>654</v>
      </c>
      <c r="B43" s="13" t="s">
        <v>261</v>
      </c>
      <c r="C43" s="39" t="str">
        <f aca="false">INDEX(Preços!$B:$B,MATCH(B43,Preços!$A:$A,0))</f>
        <v>Fonte Mean Well 5 V 150 W (variante 5 V)</v>
      </c>
      <c r="D43" s="18" t="n">
        <v>1</v>
      </c>
      <c r="E43" s="40" t="n">
        <f aca="false">INDEX(Preços!$D:$D,MATCH(B43,Preços!$A:$A,0))</f>
        <v>591.68</v>
      </c>
      <c r="F43" s="30" t="n">
        <f aca="false">D43*E43</f>
        <v>591.68</v>
      </c>
    </row>
    <row r="44" customFormat="false" ht="23.85" hidden="false" customHeight="false" outlineLevel="0" collapsed="false">
      <c r="A44" s="13" t="s">
        <v>654</v>
      </c>
      <c r="B44" s="13" t="s">
        <v>288</v>
      </c>
      <c r="C44" s="39" t="str">
        <f aca="false">INDEX(Preços!$B:$B,MATCH(B44,Preços!$A:$A,0))</f>
        <v>Gabinete do concentrador (caixa Patola PB-220/70 + cooler 40 mm 12 V + grade)</v>
      </c>
      <c r="D44" s="18" t="n">
        <v>1</v>
      </c>
      <c r="E44" s="40" t="n">
        <f aca="false">INDEX(Preços!$D:$D,MATCH(B44,Preços!$A:$A,0))</f>
        <v>187.52</v>
      </c>
      <c r="F44" s="30" t="n">
        <f aca="false">D44*E44</f>
        <v>187.52</v>
      </c>
    </row>
    <row r="45" customFormat="false" ht="15" hidden="false" customHeight="false" outlineLevel="0" collapsed="false">
      <c r="A45" s="13" t="s">
        <v>654</v>
      </c>
      <c r="B45" s="13" t="s">
        <v>291</v>
      </c>
      <c r="C45" s="39" t="str">
        <f aca="false">INDEX(Preços!$B:$B,MATCH(B45,Preços!$A:$A,0))</f>
        <v>Trilho DIN + disjuntor 2 A + bornes</v>
      </c>
      <c r="D45" s="18" t="n">
        <v>1</v>
      </c>
      <c r="E45" s="40" t="n">
        <f aca="false">INDEX(Preços!$D:$D,MATCH(B45,Preços!$A:$A,0))</f>
        <v>40.7</v>
      </c>
      <c r="F45" s="30" t="n">
        <f aca="false">D45*E45</f>
        <v>40.7</v>
      </c>
    </row>
    <row r="46" customFormat="false" ht="15" hidden="false" customHeight="false" outlineLevel="0" collapsed="false">
      <c r="A46" s="13" t="s">
        <v>654</v>
      </c>
      <c r="B46" s="13" t="s">
        <v>270</v>
      </c>
      <c r="C46" s="39" t="str">
        <f aca="false">INDEX(Preços!$B:$B,MATCH(B46,Preços!$A:$A,0))</f>
        <v>Conector RJ45 fêmea para placa (90°)</v>
      </c>
      <c r="D46" s="18" t="n">
        <v>2</v>
      </c>
      <c r="E46" s="40" t="n">
        <f aca="false">INDEX(Preços!$D:$D,MATCH(B46,Preços!$A:$A,0))</f>
        <v>4.5</v>
      </c>
      <c r="F46" s="30" t="n">
        <f aca="false">D46*E46</f>
        <v>9</v>
      </c>
    </row>
    <row r="47" customFormat="false" ht="15" hidden="false" customHeight="false" outlineLevel="0" collapsed="false">
      <c r="A47" s="13" t="s">
        <v>654</v>
      </c>
      <c r="B47" s="13" t="s">
        <v>353</v>
      </c>
      <c r="C47" s="39" t="str">
        <f aca="false">INDEX(Preços!$B:$B,MATCH(B47,Preços!$A:$A,0))</f>
        <v>Cabo PP 3 × 1,0 mm² (por metro)</v>
      </c>
      <c r="D47" s="18" t="n">
        <v>3</v>
      </c>
      <c r="E47" s="40" t="n">
        <f aca="false">INDEX(Preços!$D:$D,MATCH(B47,Preços!$A:$A,0))</f>
        <v>9.2378</v>
      </c>
      <c r="F47" s="30" t="n">
        <f aca="false">D47*E47</f>
        <v>27.7134</v>
      </c>
    </row>
    <row r="48" customFormat="false" ht="15" hidden="false" customHeight="false" outlineLevel="0" collapsed="false">
      <c r="A48" s="13" t="s">
        <v>654</v>
      </c>
      <c r="B48" s="13" t="s">
        <v>356</v>
      </c>
      <c r="C48" s="39" t="str">
        <f aca="false">INDEX(Preços!$B:$B,MATCH(B48,Preços!$A:$A,0))</f>
        <v>Plugue 2P+T 10 A com prensa-cabo</v>
      </c>
      <c r="D48" s="18" t="n">
        <v>1</v>
      </c>
      <c r="E48" s="40" t="n">
        <f aca="false">INDEX(Preços!$D:$D,MATCH(B48,Preços!$A:$A,0))</f>
        <v>6.495</v>
      </c>
      <c r="F48" s="30" t="n">
        <f aca="false">D48*E48</f>
        <v>6.495</v>
      </c>
    </row>
    <row r="49" customFormat="false" ht="15" hidden="false" customHeight="false" outlineLevel="0" collapsed="false">
      <c r="A49" s="13" t="s">
        <v>654</v>
      </c>
      <c r="B49" s="13" t="s">
        <v>359</v>
      </c>
      <c r="C49" s="39" t="str">
        <f aca="false">INDEX(Preços!$B:$B,MATCH(B49,Preços!$A:$A,0))</f>
        <v>DPS / protetor de surto 275 V 20 kA</v>
      </c>
      <c r="D49" s="18" t="n">
        <v>1</v>
      </c>
      <c r="E49" s="40" t="n">
        <f aca="false">INDEX(Preços!$D:$D,MATCH(B49,Preços!$A:$A,0))</f>
        <v>64</v>
      </c>
      <c r="F49" s="30" t="n">
        <f aca="false">D49*E49</f>
        <v>64</v>
      </c>
    </row>
    <row r="50" customFormat="false" ht="15" hidden="false" customHeight="false" outlineLevel="0" collapsed="false">
      <c r="A50" s="14" t="s">
        <v>655</v>
      </c>
      <c r="B50" s="16"/>
      <c r="C50" s="16"/>
      <c r="D50" s="16"/>
      <c r="E50" s="16"/>
      <c r="F50" s="41" t="n">
        <f aca="false">SUM(F41:F49)</f>
        <v>1064.539525</v>
      </c>
    </row>
    <row r="52" customFormat="false" ht="15" hidden="false" customHeight="false" outlineLevel="0" collapsed="false">
      <c r="A52" s="13" t="s">
        <v>656</v>
      </c>
      <c r="B52" s="13" t="s">
        <v>315</v>
      </c>
      <c r="C52" s="39" t="str">
        <f aca="false">INDEX(Preços!$B:$B,MATCH(B52,Preços!$A:$A,0))</f>
        <v>ESP32-C3 Super Mini (pulseira)</v>
      </c>
      <c r="D52" s="18" t="n">
        <v>1</v>
      </c>
      <c r="E52" s="40" t="n">
        <f aca="false">INDEX(Preços!$D:$D,MATCH(B52,Preços!$A:$A,0))</f>
        <v>29.89</v>
      </c>
      <c r="F52" s="30" t="n">
        <f aca="false">D52*E52</f>
        <v>29.89</v>
      </c>
    </row>
    <row r="53" customFormat="false" ht="15" hidden="false" customHeight="false" outlineLevel="0" collapsed="false">
      <c r="A53" s="13" t="s">
        <v>656</v>
      </c>
      <c r="B53" s="13" t="s">
        <v>318</v>
      </c>
      <c r="C53" s="39" t="str">
        <f aca="false">INDEX(Preços!$B:$B,MATCH(B53,Preços!$A:$A,0))</f>
        <v>Módulo leitor NFC PN532</v>
      </c>
      <c r="D53" s="18" t="n">
        <v>1</v>
      </c>
      <c r="E53" s="40" t="n">
        <f aca="false">INDEX(Preços!$D:$D,MATCH(B53,Preços!$A:$A,0))</f>
        <v>42.65</v>
      </c>
      <c r="F53" s="30" t="n">
        <f aca="false">D53*E53</f>
        <v>42.65</v>
      </c>
    </row>
    <row r="54" customFormat="false" ht="23.85" hidden="false" customHeight="false" outlineLevel="0" collapsed="false">
      <c r="A54" s="13" t="s">
        <v>656</v>
      </c>
      <c r="B54" s="13" t="s">
        <v>321</v>
      </c>
      <c r="C54" s="39" t="str">
        <f aca="false">INDEX(Preços!$B:$B,MATCH(B54,Preços!$A:$A,0))</f>
        <v>Kit energia pulseira (LiPo + carregador TP4056 + motor de vibração + botão)</v>
      </c>
      <c r="D54" s="18" t="n">
        <v>1</v>
      </c>
      <c r="E54" s="40" t="n">
        <f aca="false">INDEX(Preços!$D:$D,MATCH(B54,Preços!$A:$A,0))</f>
        <v>34.05</v>
      </c>
      <c r="F54" s="30" t="n">
        <f aca="false">D54*E54</f>
        <v>34.05</v>
      </c>
    </row>
    <row r="55" customFormat="false" ht="15" hidden="false" customHeight="false" outlineLevel="0" collapsed="false">
      <c r="A55" s="13" t="s">
        <v>656</v>
      </c>
      <c r="B55" s="13" t="s">
        <v>325</v>
      </c>
      <c r="C55" s="39" t="str">
        <f aca="false">INDEX(Preços!$B:$B,MATCH(B55,Preços!$A:$A,0))</f>
        <v>Carcaça da pulseira (caixa Patola PB-060) + fita de velcro</v>
      </c>
      <c r="D55" s="18" t="n">
        <v>1</v>
      </c>
      <c r="E55" s="40" t="n">
        <f aca="false">INDEX(Preços!$D:$D,MATCH(B55,Preços!$A:$A,0))</f>
        <v>6.507</v>
      </c>
      <c r="F55" s="30" t="n">
        <f aca="false">D55*E55</f>
        <v>6.507</v>
      </c>
    </row>
    <row r="56" customFormat="false" ht="15" hidden="false" customHeight="false" outlineLevel="0" collapsed="false">
      <c r="A56" s="14" t="s">
        <v>657</v>
      </c>
      <c r="B56" s="16"/>
      <c r="C56" s="16"/>
      <c r="D56" s="16"/>
      <c r="E56" s="16"/>
      <c r="F56" s="41" t="n">
        <f aca="false">SUM(F52:F55)</f>
        <v>113.097</v>
      </c>
    </row>
    <row r="58" customFormat="false" ht="15" hidden="false" customHeight="false" outlineLevel="0" collapsed="false">
      <c r="A58" s="13" t="s">
        <v>658</v>
      </c>
      <c r="B58" s="13" t="s">
        <v>309</v>
      </c>
      <c r="C58" s="39" t="str">
        <f aca="false">INDEX(Preços!$B:$B,MATCH(B58,Preços!$A:$A,0))</f>
        <v>Tag NFC NTAG213 adesiva 13,56 MHz</v>
      </c>
      <c r="D58" s="18" t="n">
        <v>1</v>
      </c>
      <c r="E58" s="40" t="n">
        <f aca="false">INDEX(Preços!$D:$D,MATCH(B58,Preços!$A:$A,0))</f>
        <v>2.3741</v>
      </c>
      <c r="F58" s="30" t="n">
        <f aca="false">D58*E58</f>
        <v>2.3741</v>
      </c>
    </row>
    <row r="59" customFormat="false" ht="15" hidden="false" customHeight="false" outlineLevel="0" collapsed="false">
      <c r="A59" s="13" t="s">
        <v>658</v>
      </c>
      <c r="B59" s="13" t="s">
        <v>312</v>
      </c>
      <c r="C59" s="39" t="str">
        <f aca="false">INDEX(Preços!$B:$B,MATCH(B59,Preços!$A:$A,0))</f>
        <v>Proteção da tag na caixa (fita transparente sobre a tag)</v>
      </c>
      <c r="D59" s="18" t="n">
        <v>1</v>
      </c>
      <c r="E59" s="40" t="n">
        <f aca="false">INDEX(Preços!$D:$D,MATCH(B59,Preços!$A:$A,0))</f>
        <v>0.0063</v>
      </c>
      <c r="F59" s="30" t="n">
        <f aca="false">D59*E59</f>
        <v>0.0063</v>
      </c>
    </row>
    <row r="60" customFormat="false" ht="15" hidden="false" customHeight="false" outlineLevel="0" collapsed="false">
      <c r="A60" s="14" t="s">
        <v>659</v>
      </c>
      <c r="B60" s="16"/>
      <c r="C60" s="16"/>
      <c r="D60" s="16"/>
      <c r="E60" s="16"/>
      <c r="F60" s="41" t="n">
        <f aca="false">SUM(F58:F59)</f>
        <v>2.3804</v>
      </c>
    </row>
    <row r="62" customFormat="false" ht="15" hidden="false" customHeight="false" outlineLevel="0" collapsed="false">
      <c r="A62" s="6" t="s">
        <v>660</v>
      </c>
    </row>
    <row r="63" customFormat="false" ht="15" hidden="false" customHeight="false" outlineLevel="0" collapsed="false">
      <c r="A63" s="6" t="s">
        <v>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237</v>
      </c>
      <c r="B1" s="7" t="s">
        <v>662</v>
      </c>
      <c r="C1" s="7" t="s">
        <v>663</v>
      </c>
      <c r="D1" s="7" t="s">
        <v>664</v>
      </c>
      <c r="E1" s="7" t="s">
        <v>644</v>
      </c>
      <c r="F1" s="7" t="s">
        <v>665</v>
      </c>
      <c r="G1" s="7" t="s">
        <v>666</v>
      </c>
    </row>
    <row r="2" customFormat="false" ht="15" hidden="false" customHeight="false" outlineLevel="0" collapsed="false">
      <c r="A2" s="12" t="s">
        <v>667</v>
      </c>
    </row>
    <row r="3" customFormat="false" ht="15" hidden="false" customHeight="false" outlineLevel="0" collapsed="false">
      <c r="A3" s="9" t="s">
        <v>668</v>
      </c>
      <c r="B3" s="9" t="s">
        <v>669</v>
      </c>
      <c r="C3" s="42" t="n">
        <f aca="false">ROUNDUP(Estações!$F$44*(1+Premissas!$B$26),0)</f>
        <v>71</v>
      </c>
      <c r="D3" s="42" t="n">
        <f aca="false">ROUNDUP(Estações!$F$43*(1+Premissas!$B$26),0)</f>
        <v>1408</v>
      </c>
      <c r="E3" s="40" t="n">
        <f aca="false">Composição!$F$8</f>
        <v>55.2250459016394</v>
      </c>
      <c r="F3" s="30" t="n">
        <f aca="false">C3*E3</f>
        <v>3920.97825901639</v>
      </c>
      <c r="G3" s="30" t="n">
        <f aca="false">D3*E3</f>
        <v>77756.8646295082</v>
      </c>
    </row>
    <row r="4" customFormat="false" ht="15" hidden="false" customHeight="false" outlineLevel="0" collapsed="false">
      <c r="A4" s="9" t="s">
        <v>670</v>
      </c>
      <c r="B4" s="9" t="s">
        <v>671</v>
      </c>
      <c r="C4" s="42" t="n">
        <f aca="false">ROUNDUP(Estações!$K$44*(1+Premissas!$B$26),0)</f>
        <v>22</v>
      </c>
      <c r="D4" s="42" t="n">
        <f aca="false">ROUNDUP(Estações!$K$43*(1+Premissas!$B$26),0)</f>
        <v>440</v>
      </c>
      <c r="E4" s="40" t="n">
        <f aca="false">Composição!$F$16</f>
        <v>117.59</v>
      </c>
      <c r="F4" s="30" t="n">
        <f aca="false">C4*E4</f>
        <v>2586.98</v>
      </c>
      <c r="G4" s="30" t="n">
        <f aca="false">D4*E4</f>
        <v>51739.6</v>
      </c>
    </row>
    <row r="5" customFormat="false" ht="15" hidden="false" customHeight="false" outlineLevel="0" collapsed="false">
      <c r="A5" s="9" t="s">
        <v>672</v>
      </c>
      <c r="B5" s="9" t="s">
        <v>673</v>
      </c>
      <c r="C5" s="42" t="n">
        <f aca="false">ROUNDUP(Estações!$M$44*(1+Premissas!$B$26),0)</f>
        <v>14</v>
      </c>
      <c r="D5" s="42" t="n">
        <f aca="false">ROUNDUP(Estações!$M$43*(1+Premissas!$B$26),0)</f>
        <v>277</v>
      </c>
      <c r="E5" s="40" t="n">
        <f aca="false">Composição!$F$27</f>
        <v>151.48</v>
      </c>
      <c r="F5" s="30" t="n">
        <f aca="false">C5*E5</f>
        <v>2120.72</v>
      </c>
      <c r="G5" s="30" t="n">
        <f aca="false">D5*E5</f>
        <v>41959.96</v>
      </c>
    </row>
    <row r="6" customFormat="false" ht="15" hidden="false" customHeight="false" outlineLevel="0" collapsed="false">
      <c r="A6" s="9" t="s">
        <v>674</v>
      </c>
      <c r="B6" s="9" t="s">
        <v>675</v>
      </c>
      <c r="C6" s="42" t="n">
        <f aca="false">ROUNDUP(Estações!$O$44*(1+Premissas!$B$26),0)</f>
        <v>3</v>
      </c>
      <c r="D6" s="42" t="n">
        <f aca="false">ROUNDUP(Estações!$O$43*(1+Premissas!$B$26),0)</f>
        <v>44</v>
      </c>
      <c r="E6" s="40" t="n">
        <f aca="false">Composição!$F$39</f>
        <v>673.739525</v>
      </c>
      <c r="F6" s="30" t="n">
        <f aca="false">C6*E6</f>
        <v>2021.218575</v>
      </c>
      <c r="G6" s="30" t="n">
        <f aca="false">D6*E6</f>
        <v>29644.5391</v>
      </c>
    </row>
    <row r="7" customFormat="false" ht="15" hidden="false" customHeight="false" outlineLevel="0" collapsed="false">
      <c r="A7" s="9" t="s">
        <v>676</v>
      </c>
      <c r="B7" s="9" t="s">
        <v>677</v>
      </c>
      <c r="C7" s="42" t="n">
        <f aca="false">Estações!$N$44*Premissas!$B$29+Estações!$O$44*2*Premissas!$B$30</f>
        <v>120</v>
      </c>
      <c r="D7" s="42" t="n">
        <f aca="false">Estações!$N$43*Premissas!$B$29+Estações!$O$43*2*Premissas!$B$30</f>
        <v>2433</v>
      </c>
      <c r="E7" s="40" t="n">
        <f aca="false">Preços!$D$13</f>
        <v>2.62262295081967</v>
      </c>
      <c r="F7" s="30" t="n">
        <f aca="false">C7*E7</f>
        <v>314.714754098361</v>
      </c>
      <c r="G7" s="30" t="n">
        <f aca="false">D7*E7</f>
        <v>6380.84163934426</v>
      </c>
    </row>
    <row r="8" customFormat="false" ht="15" hidden="false" customHeight="false" outlineLevel="0" collapsed="false">
      <c r="A8" s="9" t="s">
        <v>678</v>
      </c>
      <c r="B8" s="9" t="s">
        <v>679</v>
      </c>
      <c r="C8" s="42" t="n">
        <f aca="false">Estações!$N$44*2+Estações!$O$44*4</f>
        <v>72</v>
      </c>
      <c r="D8" s="42" t="n">
        <f aca="false">Estações!$N$43*2+Estações!$O$43*4</f>
        <v>1462</v>
      </c>
      <c r="E8" s="40" t="n">
        <f aca="false">Preços!$D$12</f>
        <v>0.7099</v>
      </c>
      <c r="F8" s="30" t="n">
        <f aca="false">C8*E8</f>
        <v>51.1128</v>
      </c>
      <c r="G8" s="30" t="n">
        <f aca="false">D8*E8</f>
        <v>1037.8738</v>
      </c>
    </row>
    <row r="9" customFormat="false" ht="23.85" hidden="false" customHeight="false" outlineLevel="0" collapsed="false">
      <c r="A9" s="9" t="s">
        <v>680</v>
      </c>
      <c r="B9" s="9" t="s">
        <v>681</v>
      </c>
      <c r="C9" s="42" t="n">
        <f aca="false">Estações!$K$44*(Premissas!$B$31*Premissas!$B$32+Premissas!$B$33)+Estações!$O$44*2*Premissas!$B$34+Estações!$O$44*Premissas!$B$35</f>
        <v>54</v>
      </c>
      <c r="D9" s="42" t="n">
        <f aca="false">Estações!$K$43*(Premissas!$B$31*Premissas!$B$32+Premissas!$B$33)+Estações!$O$43*2*Premissas!$B$34+Estações!$O$43*Premissas!$B$35</f>
        <v>1080</v>
      </c>
      <c r="E9" s="40" t="n">
        <f aca="false">Preços!$D$19</f>
        <v>4.36</v>
      </c>
      <c r="F9" s="30" t="n">
        <f aca="false">C9*E9</f>
        <v>235.44</v>
      </c>
      <c r="G9" s="30" t="n">
        <f aca="false">D9*E9</f>
        <v>4708.8</v>
      </c>
    </row>
    <row r="10" customFormat="false" ht="15" hidden="false" customHeight="false" outlineLevel="0" collapsed="false">
      <c r="A10" s="9" t="s">
        <v>682</v>
      </c>
      <c r="B10" s="9" t="s">
        <v>683</v>
      </c>
      <c r="C10" s="42" t="n">
        <f aca="false">Estações!$O$44</f>
        <v>2</v>
      </c>
      <c r="D10" s="42" t="n">
        <f aca="false">Estações!$O$43</f>
        <v>40</v>
      </c>
      <c r="E10" s="40" t="n">
        <f aca="false">Preços!$D$20</f>
        <v>28.52</v>
      </c>
      <c r="F10" s="30" t="n">
        <f aca="false">C10*E10</f>
        <v>57.04</v>
      </c>
      <c r="G10" s="30" t="n">
        <f aca="false">D10*E10</f>
        <v>1140.8</v>
      </c>
    </row>
    <row r="11" customFormat="false" ht="15" hidden="false" customHeight="false" outlineLevel="0" collapsed="false">
      <c r="A11" s="9" t="s">
        <v>684</v>
      </c>
      <c r="B11" s="9" t="s">
        <v>685</v>
      </c>
      <c r="C11" s="42" t="n">
        <f aca="false">Estações!$O$44</f>
        <v>2</v>
      </c>
      <c r="D11" s="42" t="n">
        <f aca="false">Estações!$O$43</f>
        <v>40</v>
      </c>
      <c r="E11" s="40" t="n">
        <f aca="false">Preços!$D$48</f>
        <v>25.611</v>
      </c>
      <c r="F11" s="30" t="n">
        <f aca="false">C11*E11</f>
        <v>51.222</v>
      </c>
      <c r="G11" s="30" t="n">
        <f aca="false">D11*E11</f>
        <v>1024.44</v>
      </c>
    </row>
    <row r="12" customFormat="false" ht="15" hidden="false" customHeight="false" outlineLevel="0" collapsed="false">
      <c r="A12" s="9" t="s">
        <v>686</v>
      </c>
      <c r="B12" s="9" t="s">
        <v>687</v>
      </c>
      <c r="C12" s="42" t="n">
        <f aca="false">Estações!$O$44*Premissas!$B$36</f>
        <v>100</v>
      </c>
      <c r="D12" s="42" t="n">
        <f aca="false">Estações!$O$43*Premissas!$B$36</f>
        <v>2000</v>
      </c>
      <c r="E12" s="40" t="n">
        <f aca="false">Preços!$D$13</f>
        <v>2.62262295081967</v>
      </c>
      <c r="F12" s="30" t="n">
        <f aca="false">C12*E12</f>
        <v>262.262295081967</v>
      </c>
      <c r="G12" s="30" t="n">
        <f aca="false">D12*E12</f>
        <v>5245.24590163934</v>
      </c>
    </row>
    <row r="13" customFormat="false" ht="15" hidden="false" customHeight="false" outlineLevel="0" collapsed="false">
      <c r="A13" s="9" t="s">
        <v>688</v>
      </c>
      <c r="B13" s="9" t="s">
        <v>689</v>
      </c>
      <c r="C13" s="42" t="n">
        <f aca="false">ROUNDUP(Estações!$O$44/Premissas!$B$37,0)</f>
        <v>1</v>
      </c>
      <c r="D13" s="42" t="n">
        <f aca="false">ROUNDUP(Estações!$O$43/Premissas!$B$37,0)</f>
        <v>2</v>
      </c>
      <c r="E13" s="40" t="n">
        <f aca="false">Preços!$D$21</f>
        <v>769.32</v>
      </c>
      <c r="F13" s="30" t="n">
        <f aca="false">C13*E13</f>
        <v>769.32</v>
      </c>
      <c r="G13" s="30" t="n">
        <f aca="false">D13*E13</f>
        <v>1538.64</v>
      </c>
    </row>
    <row r="14" customFormat="false" ht="15" hidden="false" customHeight="false" outlineLevel="0" collapsed="false">
      <c r="A14" s="9" t="s">
        <v>690</v>
      </c>
      <c r="B14" s="9" t="s">
        <v>691</v>
      </c>
      <c r="C14" s="42" t="n">
        <f aca="false">C13</f>
        <v>1</v>
      </c>
      <c r="D14" s="42" t="n">
        <f aca="false">D13</f>
        <v>2</v>
      </c>
      <c r="E14" s="40" t="n">
        <f aca="false">Preços!$D$42</f>
        <v>368.1</v>
      </c>
      <c r="F14" s="30" t="n">
        <f aca="false">C14*E14</f>
        <v>368.1</v>
      </c>
      <c r="G14" s="30" t="n">
        <f aca="false">D14*E14</f>
        <v>736.2</v>
      </c>
    </row>
    <row r="15" customFormat="false" ht="15" hidden="false" customHeight="false" outlineLevel="0" collapsed="false">
      <c r="A15" s="9" t="s">
        <v>692</v>
      </c>
      <c r="B15" s="9" t="s">
        <v>691</v>
      </c>
      <c r="C15" s="42" t="n">
        <f aca="false">C13</f>
        <v>1</v>
      </c>
      <c r="D15" s="42" t="n">
        <f aca="false">D13</f>
        <v>2</v>
      </c>
      <c r="E15" s="40" t="n">
        <f aca="false">Preços!$D$43</f>
        <v>431.08</v>
      </c>
      <c r="F15" s="30" t="n">
        <f aca="false">C15*E15</f>
        <v>431.08</v>
      </c>
      <c r="G15" s="30" t="n">
        <f aca="false">D15*E15</f>
        <v>862.16</v>
      </c>
    </row>
    <row r="16" customFormat="false" ht="15" hidden="false" customHeight="false" outlineLevel="0" collapsed="false">
      <c r="A16" s="9" t="s">
        <v>693</v>
      </c>
      <c r="B16" s="9" t="s">
        <v>694</v>
      </c>
      <c r="C16" s="42" t="n">
        <f aca="false">C13*Premissas!$B$38</f>
        <v>80</v>
      </c>
      <c r="D16" s="42" t="n">
        <f aca="false">D13*Premissas!$B$38</f>
        <v>160</v>
      </c>
      <c r="E16" s="40" t="n">
        <f aca="false">Preços!$D$13</f>
        <v>2.62262295081967</v>
      </c>
      <c r="F16" s="30" t="n">
        <f aca="false">C16*E16</f>
        <v>209.809836065574</v>
      </c>
      <c r="G16" s="30" t="n">
        <f aca="false">D16*E16</f>
        <v>419.619672131148</v>
      </c>
    </row>
    <row r="17" customFormat="false" ht="15" hidden="false" customHeight="false" outlineLevel="0" collapsed="false">
      <c r="A17" s="9" t="s">
        <v>695</v>
      </c>
      <c r="B17" s="9" t="s">
        <v>696</v>
      </c>
      <c r="C17" s="42" t="n">
        <f aca="false">ROUNDUP(Estações!$O$44*Premissas!$B$39,0)</f>
        <v>1</v>
      </c>
      <c r="D17" s="42" t="n">
        <f aca="false">ROUNDUP(Estações!$O$43*Premissas!$B$39,0)</f>
        <v>20</v>
      </c>
      <c r="E17" s="40" t="n">
        <f aca="false">Preços!$D$45</f>
        <v>350</v>
      </c>
      <c r="F17" s="30" t="n">
        <f aca="false">C17*E17</f>
        <v>350</v>
      </c>
      <c r="G17" s="30" t="n">
        <f aca="false">D17*E17</f>
        <v>7000</v>
      </c>
    </row>
    <row r="18" customFormat="false" ht="15" hidden="false" customHeight="false" outlineLevel="0" collapsed="false">
      <c r="A18" s="9" t="s">
        <v>697</v>
      </c>
      <c r="B18" s="9" t="s">
        <v>698</v>
      </c>
      <c r="C18" s="42" t="n">
        <f aca="false">1</f>
        <v>1</v>
      </c>
      <c r="D18" s="42" t="n">
        <f aca="false">1</f>
        <v>1</v>
      </c>
      <c r="E18" s="40" t="n">
        <f aca="false">Preços!$D$40</f>
        <v>285.99</v>
      </c>
      <c r="F18" s="30" t="n">
        <f aca="false">C18*E18</f>
        <v>285.99</v>
      </c>
      <c r="G18" s="30" t="n">
        <f aca="false">D18*E18</f>
        <v>285.99</v>
      </c>
    </row>
    <row r="19" customFormat="false" ht="15" hidden="false" customHeight="false" outlineLevel="0" collapsed="false">
      <c r="A19" s="9" t="s">
        <v>699</v>
      </c>
      <c r="B19" s="9" t="s">
        <v>698</v>
      </c>
      <c r="C19" s="42" t="n">
        <f aca="false">1</f>
        <v>1</v>
      </c>
      <c r="D19" s="42" t="n">
        <f aca="false">1</f>
        <v>1</v>
      </c>
      <c r="E19" s="40" t="n">
        <f aca="false">Preços!$D$41</f>
        <v>705.69</v>
      </c>
      <c r="F19" s="30" t="n">
        <f aca="false">C19*E19</f>
        <v>705.69</v>
      </c>
      <c r="G19" s="30" t="n">
        <f aca="false">D19*E19</f>
        <v>705.69</v>
      </c>
    </row>
    <row r="20" customFormat="false" ht="15" hidden="false" customHeight="false" outlineLevel="0" collapsed="false">
      <c r="A20" s="13" t="s">
        <v>700</v>
      </c>
      <c r="B20" s="13" t="s">
        <v>701</v>
      </c>
      <c r="C20" s="13"/>
      <c r="D20" s="13"/>
      <c r="E20" s="43" t="n">
        <f aca="false">Premissas!$B$27</f>
        <v>0.05</v>
      </c>
      <c r="F20" s="30" t="n">
        <f aca="false">E20*SUM(F3:F19)</f>
        <v>737.083925963115</v>
      </c>
      <c r="G20" s="30" t="n">
        <f aca="false">E20*SUM(G3:G19)</f>
        <v>11609.3632371311</v>
      </c>
    </row>
    <row r="21" customFormat="false" ht="15" hidden="false" customHeight="false" outlineLevel="0" collapsed="false">
      <c r="A21" s="14" t="s">
        <v>702</v>
      </c>
      <c r="B21" s="16"/>
      <c r="C21" s="16"/>
      <c r="D21" s="16"/>
      <c r="E21" s="16"/>
      <c r="F21" s="41" t="n">
        <f aca="false">SUM(F3:F20)</f>
        <v>15478.7624452254</v>
      </c>
      <c r="G21" s="41" t="n">
        <f aca="false">SUM(G3:G20)</f>
        <v>243796.627979754</v>
      </c>
    </row>
    <row r="23" customFormat="false" ht="15" hidden="false" customHeight="false" outlineLevel="0" collapsed="false">
      <c r="A23" s="12" t="s">
        <v>703</v>
      </c>
    </row>
    <row r="24" customFormat="false" ht="15" hidden="false" customHeight="false" outlineLevel="0" collapsed="false">
      <c r="A24" s="9" t="s">
        <v>704</v>
      </c>
      <c r="B24" s="9" t="s">
        <v>705</v>
      </c>
      <c r="C24" s="21" t="n">
        <f aca="false">C3*Premissas!$B$12</f>
        <v>17.75</v>
      </c>
      <c r="D24" s="21" t="n">
        <f aca="false">D3*Premissas!$B$12</f>
        <v>352</v>
      </c>
      <c r="E24" s="40" t="n">
        <f aca="false">Premissas!$B$9</f>
        <v>34.9305521472393</v>
      </c>
      <c r="F24" s="30" t="n">
        <f aca="false">C24*E24</f>
        <v>620.017300613497</v>
      </c>
      <c r="G24" s="30" t="n">
        <f aca="false">D24*E24</f>
        <v>12295.5543558282</v>
      </c>
    </row>
    <row r="25" customFormat="false" ht="15" hidden="false" customHeight="false" outlineLevel="0" collapsed="false">
      <c r="A25" s="9" t="s">
        <v>706</v>
      </c>
      <c r="B25" s="9" t="s">
        <v>707</v>
      </c>
      <c r="C25" s="21" t="n">
        <f aca="false">C4*Premissas!$B$13</f>
        <v>16.5</v>
      </c>
      <c r="D25" s="21" t="n">
        <f aca="false">D4*Premissas!$B$13</f>
        <v>330</v>
      </c>
      <c r="E25" s="40" t="n">
        <f aca="false">Premissas!$B$9</f>
        <v>34.9305521472393</v>
      </c>
      <c r="F25" s="30" t="n">
        <f aca="false">C25*E25</f>
        <v>576.354110429448</v>
      </c>
      <c r="G25" s="30" t="n">
        <f aca="false">D25*E25</f>
        <v>11527.082208589</v>
      </c>
    </row>
    <row r="26" customFormat="false" ht="15" hidden="false" customHeight="false" outlineLevel="0" collapsed="false">
      <c r="A26" s="9" t="s">
        <v>708</v>
      </c>
      <c r="B26" s="9" t="s">
        <v>705</v>
      </c>
      <c r="C26" s="21" t="n">
        <f aca="false">C5*Premissas!$B$14</f>
        <v>14</v>
      </c>
      <c r="D26" s="21" t="n">
        <f aca="false">D5*Premissas!$B$14</f>
        <v>277</v>
      </c>
      <c r="E26" s="40" t="n">
        <f aca="false">Premissas!$B$9</f>
        <v>34.9305521472393</v>
      </c>
      <c r="F26" s="30" t="n">
        <f aca="false">C26*E26</f>
        <v>489.02773006135</v>
      </c>
      <c r="G26" s="30" t="n">
        <f aca="false">D26*E26</f>
        <v>9675.76294478528</v>
      </c>
    </row>
    <row r="27" customFormat="false" ht="15" hidden="false" customHeight="false" outlineLevel="0" collapsed="false">
      <c r="A27" s="9" t="s">
        <v>709</v>
      </c>
      <c r="B27" s="9" t="s">
        <v>710</v>
      </c>
      <c r="C27" s="21" t="n">
        <f aca="false">C6*Premissas!$B$15</f>
        <v>6</v>
      </c>
      <c r="D27" s="21" t="n">
        <f aca="false">D6*Premissas!$B$15</f>
        <v>88</v>
      </c>
      <c r="E27" s="40" t="n">
        <f aca="false">Premissas!$B$9</f>
        <v>34.9305521472393</v>
      </c>
      <c r="F27" s="30" t="n">
        <f aca="false">C27*E27</f>
        <v>209.583312883436</v>
      </c>
      <c r="G27" s="30" t="n">
        <f aca="false">D27*E27</f>
        <v>3073.88858895706</v>
      </c>
    </row>
    <row r="28" customFormat="false" ht="15" hidden="false" customHeight="false" outlineLevel="0" collapsed="false">
      <c r="A28" s="9" t="s">
        <v>711</v>
      </c>
      <c r="B28" s="9" t="s">
        <v>712</v>
      </c>
      <c r="C28" s="21" t="n">
        <f aca="false">(Estações!$O$44*Premissas!$B$16+Estações!$F$44*Premissas!$B$17+Estações!$K$44*Premissas!$B$18+Estações!$M$44*Premissas!$B$19+C9*Premissas!$B$20)*Premissas!$B$22</f>
        <v>46.68</v>
      </c>
      <c r="D28" s="21" t="n">
        <f aca="false">(Estações!$O$43*Premissas!$B$16+Estações!$F$43*Premissas!$B$17+Estações!$K$43*Premissas!$B$18+Estações!$M$43*Premissas!$B$19+D9*Premissas!$B$20)*Premissas!$B$22</f>
        <v>939.375</v>
      </c>
      <c r="E28" s="40" t="n">
        <f aca="false">Premissas!$B$9</f>
        <v>34.9305521472393</v>
      </c>
      <c r="F28" s="30" t="n">
        <f aca="false">C28*E28</f>
        <v>1630.55817423313</v>
      </c>
      <c r="G28" s="30" t="n">
        <f aca="false">D28*E28</f>
        <v>32812.8874233129</v>
      </c>
    </row>
    <row r="29" customFormat="false" ht="15" hidden="false" customHeight="false" outlineLevel="0" collapsed="false">
      <c r="A29" s="9" t="s">
        <v>713</v>
      </c>
      <c r="B29" s="9" t="s">
        <v>714</v>
      </c>
      <c r="C29" s="21" t="n">
        <f aca="false">Estações!$O$44*Premissas!$B$21*Premissas!$B$22</f>
        <v>12</v>
      </c>
      <c r="D29" s="21" t="n">
        <f aca="false">Estações!$O$43*Premissas!$B$21*Premissas!$B$22</f>
        <v>240</v>
      </c>
      <c r="E29" s="40" t="n">
        <f aca="false">Premissas!$B$9</f>
        <v>34.9305521472393</v>
      </c>
      <c r="F29" s="30" t="n">
        <f aca="false">C29*E29</f>
        <v>419.166625766871</v>
      </c>
      <c r="G29" s="30" t="n">
        <f aca="false">D29*E29</f>
        <v>8383.33251533742</v>
      </c>
    </row>
    <row r="30" customFormat="false" ht="15" hidden="false" customHeight="false" outlineLevel="0" collapsed="false">
      <c r="A30" s="9" t="s">
        <v>715</v>
      </c>
      <c r="B30" s="9" t="s">
        <v>716</v>
      </c>
      <c r="C30" s="21" t="n">
        <f aca="false">Estações!$O$44*Premissas!$B$23*Premissas!$B$24</f>
        <v>8</v>
      </c>
      <c r="D30" s="21" t="n">
        <f aca="false">Estações!$O$43*Premissas!$B$23*Premissas!$B$24</f>
        <v>160</v>
      </c>
      <c r="E30" s="40" t="n">
        <f aca="false">Premissas!$B$11</f>
        <v>24.6575460122699</v>
      </c>
      <c r="F30" s="30" t="n">
        <f aca="false">C30*E30</f>
        <v>197.26036809816</v>
      </c>
      <c r="G30" s="30" t="n">
        <f aca="false">D30*E30</f>
        <v>3945.20736196319</v>
      </c>
    </row>
    <row r="31" customFormat="false" ht="15" hidden="false" customHeight="false" outlineLevel="0" collapsed="false">
      <c r="A31" s="9" t="s">
        <v>717</v>
      </c>
      <c r="B31" s="9" t="s">
        <v>718</v>
      </c>
      <c r="C31" s="21" t="n">
        <f aca="false">Premissas!$B$25</f>
        <v>16</v>
      </c>
      <c r="D31" s="21" t="n">
        <f aca="false">Premissas!$B$25</f>
        <v>16</v>
      </c>
      <c r="E31" s="40" t="n">
        <f aca="false">Premissas!$B$9</f>
        <v>34.9305521472393</v>
      </c>
      <c r="F31" s="30" t="n">
        <f aca="false">C31*E31</f>
        <v>558.888834355828</v>
      </c>
      <c r="G31" s="30" t="n">
        <f aca="false">D31*E31</f>
        <v>558.888834355828</v>
      </c>
    </row>
    <row r="32" customFormat="false" ht="15" hidden="false" customHeight="false" outlineLevel="0" collapsed="false">
      <c r="A32" s="14" t="s">
        <v>719</v>
      </c>
      <c r="B32" s="16"/>
      <c r="C32" s="44" t="n">
        <f aca="false">SUM(C24:C31)</f>
        <v>136.93</v>
      </c>
      <c r="D32" s="44" t="n">
        <f aca="false">SUM(D24:D31)</f>
        <v>2402.375</v>
      </c>
      <c r="E32" s="16"/>
      <c r="F32" s="41" t="n">
        <f aca="false">SUM(F24:F31)</f>
        <v>4700.85645644172</v>
      </c>
      <c r="G32" s="41" t="n">
        <f aca="false">SUM(G24:G31)</f>
        <v>82272.6042331288</v>
      </c>
    </row>
    <row r="34" customFormat="false" ht="15" hidden="false" customHeight="false" outlineLevel="0" collapsed="false">
      <c r="A34" s="14" t="s">
        <v>720</v>
      </c>
      <c r="B34" s="16"/>
      <c r="C34" s="16"/>
      <c r="D34" s="16"/>
      <c r="E34" s="16"/>
      <c r="F34" s="41" t="n">
        <f aca="false">F21+F32</f>
        <v>20179.6189016671</v>
      </c>
      <c r="G34" s="41" t="n">
        <f aca="false">G21+G32</f>
        <v>326069.232212883</v>
      </c>
    </row>
    <row r="36" customFormat="false" ht="15" hidden="false" customHeight="false" outlineLevel="0" collapsed="false">
      <c r="A36" s="12" t="s">
        <v>721</v>
      </c>
    </row>
    <row r="37" customFormat="false" ht="15" hidden="false" customHeight="false" outlineLevel="0" collapsed="false">
      <c r="A37" s="9" t="s">
        <v>722</v>
      </c>
      <c r="B37" s="9" t="s">
        <v>723</v>
      </c>
      <c r="C37" s="42" t="n">
        <f aca="false">-(C4+C5+C6)</f>
        <v>-39</v>
      </c>
      <c r="D37" s="42" t="n">
        <f aca="false">-(D4+D5+D6)</f>
        <v>-761</v>
      </c>
      <c r="E37" s="40" t="n">
        <f aca="false">Preços!$D$9</f>
        <v>10.9</v>
      </c>
      <c r="F37" s="30" t="n">
        <f aca="false">C37*E37</f>
        <v>-425.1</v>
      </c>
      <c r="G37" s="30" t="n">
        <f aca="false">D37*E37</f>
        <v>-8294.9</v>
      </c>
    </row>
    <row r="38" customFormat="false" ht="15" hidden="false" customHeight="false" outlineLevel="0" collapsed="false">
      <c r="A38" s="9" t="s">
        <v>724</v>
      </c>
      <c r="B38" s="9" t="s">
        <v>725</v>
      </c>
      <c r="C38" s="42" t="n">
        <f aca="false">C6</f>
        <v>3</v>
      </c>
      <c r="D38" s="42" t="n">
        <f aca="false">D6</f>
        <v>44</v>
      </c>
      <c r="E38" s="40" t="n">
        <f aca="false">(Preços!$D$8-Preços!$D$7)</f>
        <v>401.7</v>
      </c>
      <c r="F38" s="30" t="n">
        <f aca="false">C38*E38</f>
        <v>1205.1</v>
      </c>
      <c r="G38" s="30" t="n">
        <f aca="false">D38*E38</f>
        <v>17674.8</v>
      </c>
    </row>
    <row r="39" customFormat="false" ht="15" hidden="false" customHeight="false" outlineLevel="0" collapsed="false">
      <c r="A39" s="9" t="s">
        <v>726</v>
      </c>
      <c r="B39" s="9" t="s">
        <v>687</v>
      </c>
      <c r="C39" s="42" t="n">
        <f aca="false">Estações!$O$44*Premissas!$B$42</f>
        <v>60</v>
      </c>
      <c r="D39" s="42" t="n">
        <f aca="false">Estações!$O$43*Premissas!$B$42</f>
        <v>1200</v>
      </c>
      <c r="E39" s="40" t="n">
        <f aca="false">Preços!$D$37</f>
        <v>9.2378</v>
      </c>
      <c r="F39" s="30" t="n">
        <f aca="false">C39*E39</f>
        <v>554.268</v>
      </c>
      <c r="G39" s="30" t="n">
        <f aca="false">D39*E39</f>
        <v>11085.36</v>
      </c>
    </row>
    <row r="40" customFormat="false" ht="15" hidden="false" customHeight="false" outlineLevel="0" collapsed="false">
      <c r="A40" s="14" t="s">
        <v>727</v>
      </c>
      <c r="B40" s="16"/>
      <c r="C40" s="16"/>
      <c r="D40" s="16"/>
      <c r="E40" s="16"/>
      <c r="F40" s="41" t="n">
        <f aca="false">F21+SUM(F37:F39)</f>
        <v>16813.0304452254</v>
      </c>
      <c r="G40" s="41" t="n">
        <f aca="false">G21+SUM(G37:G39)</f>
        <v>264261.887979754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237</v>
      </c>
      <c r="B1" s="7" t="s">
        <v>662</v>
      </c>
      <c r="C1" s="7" t="s">
        <v>663</v>
      </c>
      <c r="D1" s="7" t="s">
        <v>664</v>
      </c>
      <c r="E1" s="7" t="s">
        <v>644</v>
      </c>
      <c r="F1" s="7" t="s">
        <v>665</v>
      </c>
      <c r="G1" s="7" t="s">
        <v>666</v>
      </c>
    </row>
    <row r="2" customFormat="false" ht="15" hidden="false" customHeight="false" outlineLevel="0" collapsed="false">
      <c r="A2" s="12" t="s">
        <v>728</v>
      </c>
    </row>
    <row r="3" customFormat="false" ht="15" hidden="false" customHeight="false" outlineLevel="0" collapsed="false">
      <c r="A3" s="9" t="s">
        <v>729</v>
      </c>
      <c r="B3" s="9" t="s">
        <v>669</v>
      </c>
      <c r="C3" s="42" t="n">
        <f aca="false">ROUNDUP(Estações!$F$44*(1+Premissas!$B$26),0)</f>
        <v>71</v>
      </c>
      <c r="D3" s="42" t="n">
        <f aca="false">ROUNDUP(Estações!$F$43*(1+Premissas!$B$26),0)</f>
        <v>1408</v>
      </c>
      <c r="E3" s="40" t="n">
        <f aca="false">Preços!$D$32+Preços!$D$14</f>
        <v>98.47441</v>
      </c>
      <c r="F3" s="30" t="n">
        <f aca="false">C3*E3</f>
        <v>6991.68311</v>
      </c>
      <c r="G3" s="30" t="n">
        <f aca="false">D3*E3</f>
        <v>138651.96928</v>
      </c>
    </row>
    <row r="4" customFormat="false" ht="15" hidden="false" customHeight="false" outlineLevel="0" collapsed="false">
      <c r="A4" s="9" t="s">
        <v>730</v>
      </c>
      <c r="B4" s="9" t="s">
        <v>673</v>
      </c>
      <c r="C4" s="42" t="n">
        <f aca="false">ROUNDUP(Estações!$M$44*(1+Premissas!$B$26),0)</f>
        <v>14</v>
      </c>
      <c r="D4" s="42" t="n">
        <f aca="false">ROUNDUP(Estações!$M$43*(1+Premissas!$B$26),0)</f>
        <v>277</v>
      </c>
      <c r="E4" s="40" t="n">
        <f aca="false">Preços!$D$33+Preços!$D$15+Preços!$D$10</f>
        <v>259.47078</v>
      </c>
      <c r="F4" s="30" t="n">
        <f aca="false">C4*E4</f>
        <v>3632.59092</v>
      </c>
      <c r="G4" s="30" t="n">
        <f aca="false">D4*E4</f>
        <v>71873.40606</v>
      </c>
    </row>
    <row r="5" customFormat="false" ht="23.85" hidden="false" customHeight="false" outlineLevel="0" collapsed="false">
      <c r="A5" s="9" t="s">
        <v>731</v>
      </c>
      <c r="B5" s="9" t="s">
        <v>732</v>
      </c>
      <c r="C5" s="42" t="n">
        <f aca="false">ROUNDUP(Estações!$O$44*(1+Premissas!$B$26),0)</f>
        <v>3</v>
      </c>
      <c r="D5" s="42" t="n">
        <f aca="false">ROUNDUP(Estações!$O$43*(1+Premissas!$B$26),0)</f>
        <v>44</v>
      </c>
      <c r="E5" s="40" t="n">
        <f aca="false">Preços!$D$34+Preços!$D$7+Preços!$D$17+Preços!$D$18+Preços!$D$37*3+Preços!$D$38*1+Preços!$D$39*1</f>
        <v>851.37555</v>
      </c>
      <c r="F5" s="30" t="n">
        <f aca="false">C5*E5</f>
        <v>2554.12665</v>
      </c>
      <c r="G5" s="30" t="n">
        <f aca="false">D5*E5</f>
        <v>37460.5242</v>
      </c>
    </row>
    <row r="6" customFormat="false" ht="15" hidden="false" customHeight="false" outlineLevel="0" collapsed="false">
      <c r="A6" s="9" t="s">
        <v>733</v>
      </c>
      <c r="B6" s="9" t="s">
        <v>734</v>
      </c>
      <c r="C6" s="42" t="n">
        <f aca="false">Estações!$F$44*Premissas!$B$43+Estações!$M$44*Premissas!$B$29+Estações!$O$44*2*Premissas!$B$30</f>
        <v>124</v>
      </c>
      <c r="D6" s="42" t="n">
        <f aca="false">Estações!$F$43*Premissas!$B$43+Estações!$M$43*Premissas!$B$29+Estações!$O$43*2*Premissas!$B$30</f>
        <v>2513</v>
      </c>
      <c r="E6" s="40" t="n">
        <f aca="false">Preços!$D$13</f>
        <v>2.62262295081967</v>
      </c>
      <c r="F6" s="30" t="n">
        <f aca="false">C6*E6</f>
        <v>325.205245901639</v>
      </c>
      <c r="G6" s="30" t="n">
        <f aca="false">D6*E6</f>
        <v>6590.65147540984</v>
      </c>
    </row>
    <row r="7" customFormat="false" ht="15" hidden="false" customHeight="false" outlineLevel="0" collapsed="false">
      <c r="A7" s="9" t="s">
        <v>678</v>
      </c>
      <c r="B7" s="9" t="s">
        <v>735</v>
      </c>
      <c r="C7" s="42" t="n">
        <f aca="false">(Estações!$F$44+Estações!$M$44)*2+Estações!$O$44*4</f>
        <v>160</v>
      </c>
      <c r="D7" s="42" t="n">
        <f aca="false">(Estações!$F$43+Estações!$M$43)*2+Estações!$O$43*4</f>
        <v>3222</v>
      </c>
      <c r="E7" s="40" t="n">
        <f aca="false">Preços!$D$12</f>
        <v>0.7099</v>
      </c>
      <c r="F7" s="30" t="n">
        <f aca="false">C7*E7</f>
        <v>113.584</v>
      </c>
      <c r="G7" s="30" t="n">
        <f aca="false">D7*E7</f>
        <v>2287.2978</v>
      </c>
    </row>
    <row r="8" customFormat="false" ht="23.85" hidden="false" customHeight="false" outlineLevel="0" collapsed="false">
      <c r="A8" s="9" t="s">
        <v>736</v>
      </c>
      <c r="B8" s="9" t="s">
        <v>737</v>
      </c>
      <c r="C8" s="13"/>
      <c r="D8" s="13"/>
      <c r="E8" s="13"/>
      <c r="F8" s="40" t="n">
        <f aca="false">SUM('A-Interno'!F9:F19)</f>
        <v>3725.95413114754</v>
      </c>
      <c r="G8" s="40" t="n">
        <f aca="false">SUM('A-Interno'!G9:G19)</f>
        <v>23667.5855737705</v>
      </c>
    </row>
    <row r="9" customFormat="false" ht="15" hidden="false" customHeight="false" outlineLevel="0" collapsed="false">
      <c r="A9" s="9" t="s">
        <v>738</v>
      </c>
      <c r="B9" s="9" t="s">
        <v>739</v>
      </c>
      <c r="C9" s="42" t="n">
        <f aca="false">1</f>
        <v>1</v>
      </c>
      <c r="D9" s="42" t="n">
        <f aca="false">1</f>
        <v>1</v>
      </c>
      <c r="E9" s="40" t="n">
        <f aca="false">Preços!$D$35</f>
        <v>15000</v>
      </c>
      <c r="F9" s="30" t="n">
        <f aca="false">C9*E9</f>
        <v>15000</v>
      </c>
      <c r="G9" s="30" t="n">
        <f aca="false">D9*E9</f>
        <v>15000</v>
      </c>
    </row>
    <row r="10" customFormat="false" ht="15" hidden="false" customHeight="false" outlineLevel="0" collapsed="false">
      <c r="A10" s="9" t="s">
        <v>740</v>
      </c>
      <c r="B10" s="9" t="s">
        <v>741</v>
      </c>
      <c r="C10" s="21" t="n">
        <f aca="false">(C3+C4+C5)*Premissas!$B$44</f>
        <v>8.8</v>
      </c>
      <c r="D10" s="21" t="n">
        <f aca="false">(D3+D4+D5)*Premissas!$B$44</f>
        <v>172.9</v>
      </c>
      <c r="E10" s="40" t="n">
        <f aca="false">Premissas!$B$9</f>
        <v>34.9305521472393</v>
      </c>
      <c r="F10" s="30" t="n">
        <f aca="false">C10*E10</f>
        <v>307.388858895706</v>
      </c>
      <c r="G10" s="30" t="n">
        <f aca="false">D10*E10</f>
        <v>6039.49246625767</v>
      </c>
    </row>
    <row r="11" customFormat="false" ht="15" hidden="false" customHeight="false" outlineLevel="0" collapsed="false">
      <c r="A11" s="9" t="s">
        <v>742</v>
      </c>
      <c r="B11" s="9" t="s">
        <v>743</v>
      </c>
      <c r="C11" s="21" t="n">
        <f aca="false">(Estações!$O$44*Premissas!$B$16+Estações!$F$44*Premissas!$B$17+Estações!$M$44*Premissas!$B$19+'A-Interno'!C9*Premissas!$B$20+Estações!$O$44*Premissas!$B$21)*Premissas!$B$22</f>
        <v>51.18</v>
      </c>
      <c r="D11" s="21" t="n">
        <f aca="false">(Estações!$O$43*Premissas!$B$16+Estações!$F$43*Premissas!$B$17+Estações!$M$43*Premissas!$B$19+'A-Interno'!D9*Premissas!$B$20+Estações!$O$43*Premissas!$B$21)*Premissas!$B$22</f>
        <v>1029.375</v>
      </c>
      <c r="E11" s="40" t="n">
        <f aca="false">Premissas!$B$9</f>
        <v>34.9305521472393</v>
      </c>
      <c r="F11" s="30" t="n">
        <f aca="false">C11*E11</f>
        <v>1787.74565889571</v>
      </c>
      <c r="G11" s="30" t="n">
        <f aca="false">D11*E11</f>
        <v>35956.6371165644</v>
      </c>
    </row>
    <row r="12" customFormat="false" ht="15" hidden="false" customHeight="false" outlineLevel="0" collapsed="false">
      <c r="A12" s="9" t="s">
        <v>744</v>
      </c>
      <c r="B12" s="9" t="s">
        <v>737</v>
      </c>
      <c r="C12" s="13"/>
      <c r="D12" s="13"/>
      <c r="E12" s="13"/>
      <c r="F12" s="40" t="n">
        <f aca="false">SUM('A-Interno'!F30:F31)</f>
        <v>756.149202453988</v>
      </c>
      <c r="G12" s="40" t="n">
        <f aca="false">SUM('A-Interno'!G30:G31)</f>
        <v>4504.09619631902</v>
      </c>
    </row>
    <row r="13" customFormat="false" ht="15" hidden="false" customHeight="false" outlineLevel="0" collapsed="false">
      <c r="A13" s="14" t="s">
        <v>745</v>
      </c>
      <c r="B13" s="16"/>
      <c r="C13" s="16"/>
      <c r="D13" s="16"/>
      <c r="E13" s="16"/>
      <c r="F13" s="41" t="n">
        <f aca="false">SUM(F3:F12)</f>
        <v>35194.4277772946</v>
      </c>
      <c r="G13" s="41" t="n">
        <f aca="false">SUM(G3:G12)</f>
        <v>342031.660168321</v>
      </c>
    </row>
    <row r="15" customFormat="false" ht="15" hidden="false" customHeight="false" outlineLevel="0" collapsed="false">
      <c r="A15" s="12" t="s">
        <v>746</v>
      </c>
    </row>
    <row r="16" customFormat="false" ht="15" hidden="false" customHeight="false" outlineLevel="0" collapsed="false">
      <c r="A16" s="9" t="s">
        <v>747</v>
      </c>
      <c r="B16" s="9" t="s">
        <v>748</v>
      </c>
      <c r="C16" s="42" t="n">
        <f aca="false">ROUNDUP(Estações!$F$44*(1+Premissas!$B$26),0)</f>
        <v>71</v>
      </c>
      <c r="D16" s="42" t="n">
        <f aca="false">ROUNDUP(Estações!$F$43*(1+Premissas!$B$26),0)</f>
        <v>1408</v>
      </c>
      <c r="E16" s="40" t="n">
        <f aca="false">Preços!$D$29</f>
        <v>287.1147</v>
      </c>
      <c r="F16" s="30" t="n">
        <f aca="false">C16*E16</f>
        <v>20385.1437</v>
      </c>
      <c r="G16" s="30" t="n">
        <f aca="false">D16*E16</f>
        <v>404257.4976</v>
      </c>
    </row>
    <row r="17" customFormat="false" ht="15" hidden="false" customHeight="false" outlineLevel="0" collapsed="false">
      <c r="A17" s="9" t="s">
        <v>749</v>
      </c>
      <c r="B17" s="9" t="s">
        <v>673</v>
      </c>
      <c r="C17" s="42" t="n">
        <f aca="false">ROUNDUP(Estações!$M$44*(1+Premissas!$B$26),0)</f>
        <v>14</v>
      </c>
      <c r="D17" s="42" t="n">
        <f aca="false">ROUNDUP(Estações!$M$43*(1+Premissas!$B$26),0)</f>
        <v>277</v>
      </c>
      <c r="E17" s="40" t="n">
        <f aca="false">Preços!$D$30</f>
        <v>622.08185</v>
      </c>
      <c r="F17" s="30" t="n">
        <f aca="false">C17*E17</f>
        <v>8709.1459</v>
      </c>
      <c r="G17" s="30" t="n">
        <f aca="false">D17*E17</f>
        <v>172316.67245</v>
      </c>
    </row>
    <row r="18" customFormat="false" ht="15" hidden="false" customHeight="false" outlineLevel="0" collapsed="false">
      <c r="A18" s="9" t="s">
        <v>750</v>
      </c>
      <c r="B18" s="9" t="s">
        <v>152</v>
      </c>
      <c r="C18" s="42" t="n">
        <f aca="false">Estações!$O$44</f>
        <v>2</v>
      </c>
      <c r="D18" s="42" t="n">
        <f aca="false">Estações!$O$43</f>
        <v>40</v>
      </c>
      <c r="E18" s="40" t="n">
        <f aca="false">Preços!$D$31</f>
        <v>2105.5078</v>
      </c>
      <c r="F18" s="30" t="n">
        <f aca="false">C18*E18</f>
        <v>4211.0156</v>
      </c>
      <c r="G18" s="30" t="n">
        <f aca="false">D18*E18</f>
        <v>84220.312</v>
      </c>
    </row>
    <row r="19" customFormat="false" ht="15" hidden="false" customHeight="false" outlineLevel="0" collapsed="false">
      <c r="A19" s="9" t="s">
        <v>751</v>
      </c>
      <c r="B19" s="9" t="s">
        <v>152</v>
      </c>
      <c r="C19" s="42" t="n">
        <f aca="false">Estações!$O$44</f>
        <v>2</v>
      </c>
      <c r="D19" s="42" t="n">
        <f aca="false">Estações!$O$43</f>
        <v>40</v>
      </c>
      <c r="E19" s="40" t="n">
        <f aca="false">Preços!$D$7+Preços!$D$17+Preços!$D$18+Preços!$D$37*3+Preços!$D$38*1+Preços!$D$39*1</f>
        <v>516.4084</v>
      </c>
      <c r="F19" s="30" t="n">
        <f aca="false">C19*E19</f>
        <v>1032.8168</v>
      </c>
      <c r="G19" s="30" t="n">
        <f aca="false">D19*E19</f>
        <v>20656.336</v>
      </c>
    </row>
    <row r="20" customFormat="false" ht="15" hidden="false" customHeight="false" outlineLevel="0" collapsed="false">
      <c r="A20" s="9" t="s">
        <v>733</v>
      </c>
      <c r="B20" s="9" t="s">
        <v>734</v>
      </c>
      <c r="C20" s="42" t="n">
        <f aca="false">Estações!$F$44*Premissas!$B$43+Estações!$M$44*Premissas!$B$29+Estações!$O$44*2*Premissas!$B$30</f>
        <v>124</v>
      </c>
      <c r="D20" s="42" t="n">
        <f aca="false">Estações!$F$43*Premissas!$B$43+Estações!$M$43*Premissas!$B$29+Estações!$O$43*2*Premissas!$B$30</f>
        <v>2513</v>
      </c>
      <c r="E20" s="40" t="n">
        <f aca="false">Preços!$D$13</f>
        <v>2.62262295081967</v>
      </c>
      <c r="F20" s="30" t="n">
        <f aca="false">C20*E20</f>
        <v>325.205245901639</v>
      </c>
      <c r="G20" s="30" t="n">
        <f aca="false">D20*E20</f>
        <v>6590.65147540984</v>
      </c>
    </row>
    <row r="21" customFormat="false" ht="15" hidden="false" customHeight="false" outlineLevel="0" collapsed="false">
      <c r="A21" s="9" t="s">
        <v>678</v>
      </c>
      <c r="B21" s="9" t="s">
        <v>735</v>
      </c>
      <c r="C21" s="42" t="n">
        <f aca="false">(Estações!$F$44+Estações!$M$44)*2+Estações!$O$44*4</f>
        <v>160</v>
      </c>
      <c r="D21" s="42" t="n">
        <f aca="false">(Estações!$F$43+Estações!$M$43)*2+Estações!$O$43*4</f>
        <v>3222</v>
      </c>
      <c r="E21" s="40" t="n">
        <f aca="false">Preços!$D$12</f>
        <v>0.7099</v>
      </c>
      <c r="F21" s="30" t="n">
        <f aca="false">C21*E21</f>
        <v>113.584</v>
      </c>
      <c r="G21" s="30" t="n">
        <f aca="false">D21*E21</f>
        <v>2287.2978</v>
      </c>
    </row>
    <row r="22" customFormat="false" ht="23.85" hidden="false" customHeight="false" outlineLevel="0" collapsed="false">
      <c r="A22" s="9" t="s">
        <v>736</v>
      </c>
      <c r="B22" s="9" t="s">
        <v>737</v>
      </c>
      <c r="C22" s="13"/>
      <c r="D22" s="13"/>
      <c r="E22" s="13"/>
      <c r="F22" s="40" t="n">
        <f aca="false">SUM('A-Interno'!F9:F19)</f>
        <v>3725.95413114754</v>
      </c>
      <c r="G22" s="40" t="n">
        <f aca="false">SUM('A-Interno'!G9:G19)</f>
        <v>23667.5855737705</v>
      </c>
    </row>
    <row r="23" customFormat="false" ht="15" hidden="false" customHeight="false" outlineLevel="0" collapsed="false">
      <c r="A23" s="9" t="s">
        <v>742</v>
      </c>
      <c r="B23" s="9" t="s">
        <v>743</v>
      </c>
      <c r="C23" s="21" t="n">
        <f aca="false">(Estações!$O$44*Premissas!$B$16+Estações!$F$44*Premissas!$B$17+Estações!$M$44*Premissas!$B$19+'A-Interno'!C9*Premissas!$B$20+Estações!$O$44*Premissas!$B$21)*Premissas!$B$22</f>
        <v>51.18</v>
      </c>
      <c r="D23" s="21" t="n">
        <f aca="false">(Estações!$O$43*Premissas!$B$16+Estações!$F$43*Premissas!$B$17+Estações!$M$43*Premissas!$B$19+'A-Interno'!D9*Premissas!$B$20+Estações!$O$43*Premissas!$B$21)*Premissas!$B$22</f>
        <v>1029.375</v>
      </c>
      <c r="E23" s="40" t="n">
        <f aca="false">Premissas!$B$9</f>
        <v>34.9305521472393</v>
      </c>
      <c r="F23" s="30" t="n">
        <f aca="false">C23*E23</f>
        <v>1787.74565889571</v>
      </c>
      <c r="G23" s="30" t="n">
        <f aca="false">D23*E23</f>
        <v>35956.6371165644</v>
      </c>
    </row>
    <row r="24" customFormat="false" ht="15" hidden="false" customHeight="false" outlineLevel="0" collapsed="false">
      <c r="A24" s="9" t="s">
        <v>744</v>
      </c>
      <c r="B24" s="9" t="s">
        <v>737</v>
      </c>
      <c r="C24" s="13"/>
      <c r="D24" s="13"/>
      <c r="E24" s="13"/>
      <c r="F24" s="40" t="n">
        <f aca="false">SUM('A-Interno'!F30:F31)</f>
        <v>756.149202453988</v>
      </c>
      <c r="G24" s="40" t="n">
        <f aca="false">SUM('A-Interno'!G30:G31)</f>
        <v>4504.09619631902</v>
      </c>
    </row>
    <row r="25" customFormat="false" ht="15" hidden="false" customHeight="false" outlineLevel="0" collapsed="false">
      <c r="A25" s="14" t="s">
        <v>752</v>
      </c>
      <c r="B25" s="16"/>
      <c r="C25" s="16"/>
      <c r="D25" s="16"/>
      <c r="E25" s="16"/>
      <c r="F25" s="41" t="n">
        <f aca="false">SUM(F16:F24)</f>
        <v>41046.7602383989</v>
      </c>
      <c r="G25" s="41" t="n">
        <f aca="false">SUM(G16:G24)</f>
        <v>754457.086212064</v>
      </c>
    </row>
    <row r="27" customFormat="false" ht="15" hidden="false" customHeight="false" outlineLevel="0" collapsed="false">
      <c r="A27" s="6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8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237</v>
      </c>
      <c r="B1" s="7" t="s">
        <v>662</v>
      </c>
      <c r="C1" s="7" t="s">
        <v>663</v>
      </c>
      <c r="D1" s="7" t="s">
        <v>664</v>
      </c>
      <c r="E1" s="7" t="s">
        <v>644</v>
      </c>
      <c r="F1" s="7" t="s">
        <v>665</v>
      </c>
      <c r="G1" s="7" t="s">
        <v>666</v>
      </c>
    </row>
    <row r="2" customFormat="false" ht="15" hidden="false" customHeight="false" outlineLevel="0" collapsed="false">
      <c r="A2" s="12" t="s">
        <v>754</v>
      </c>
    </row>
    <row r="3" customFormat="false" ht="15" hidden="false" customHeight="false" outlineLevel="0" collapsed="false">
      <c r="A3" s="9" t="s">
        <v>755</v>
      </c>
      <c r="B3" s="9" t="s">
        <v>756</v>
      </c>
      <c r="C3" s="42" t="n">
        <f aca="false">ROUNDUP(Premissas!$B$40*Estações!$O$44/Estações!$O$43,0)</f>
        <v>250</v>
      </c>
      <c r="D3" s="42" t="n">
        <f aca="false">Premissas!$B$40</f>
        <v>5000</v>
      </c>
      <c r="E3" s="40" t="n">
        <f aca="false">Composição!$F$60</f>
        <v>2.3804</v>
      </c>
      <c r="F3" s="30" t="n">
        <f aca="false">C3*E3</f>
        <v>595.1</v>
      </c>
      <c r="G3" s="30" t="n">
        <f aca="false">D3*E3</f>
        <v>11902</v>
      </c>
    </row>
    <row r="4" customFormat="false" ht="15" hidden="false" customHeight="false" outlineLevel="0" collapsed="false">
      <c r="A4" s="9" t="s">
        <v>757</v>
      </c>
      <c r="B4" s="9" t="s">
        <v>758</v>
      </c>
      <c r="C4" s="21" t="n">
        <f aca="false">C3*30/3600</f>
        <v>2.08333333333333</v>
      </c>
      <c r="D4" s="21" t="n">
        <f aca="false">D3*30/3600</f>
        <v>41.6666666666667</v>
      </c>
      <c r="E4" s="40" t="n">
        <f aca="false">Premissas!$B$9</f>
        <v>34.9305521472393</v>
      </c>
      <c r="F4" s="30" t="n">
        <f aca="false">C4*E4</f>
        <v>72.7719836400818</v>
      </c>
      <c r="G4" s="30" t="n">
        <f aca="false">D4*E4</f>
        <v>1455.43967280164</v>
      </c>
    </row>
    <row r="5" customFormat="false" ht="15" hidden="false" customHeight="false" outlineLevel="0" collapsed="false">
      <c r="A5" s="9" t="s">
        <v>759</v>
      </c>
      <c r="B5" s="9" t="s">
        <v>760</v>
      </c>
      <c r="C5" s="42" t="n">
        <f aca="false">ROUNDUP(Estações!$O$44*Premissas!$B$41,0)</f>
        <v>5</v>
      </c>
      <c r="D5" s="42" t="n">
        <f aca="false">ROUNDUP(Estações!$O$43*Premissas!$B$41,0)</f>
        <v>88</v>
      </c>
      <c r="E5" s="40" t="n">
        <f aca="false">Composição!$F$56</f>
        <v>113.097</v>
      </c>
      <c r="F5" s="30" t="n">
        <f aca="false">C5*E5</f>
        <v>565.485</v>
      </c>
      <c r="G5" s="30" t="n">
        <f aca="false">D5*E5</f>
        <v>9952.536</v>
      </c>
    </row>
    <row r="6" customFormat="false" ht="15" hidden="false" customHeight="false" outlineLevel="0" collapsed="false">
      <c r="A6" s="9" t="s">
        <v>761</v>
      </c>
      <c r="B6" s="9" t="s">
        <v>762</v>
      </c>
      <c r="C6" s="42" t="n">
        <f aca="false">Estações!$O$44</f>
        <v>2</v>
      </c>
      <c r="D6" s="42" t="n">
        <f aca="false">Estações!$O$43</f>
        <v>40</v>
      </c>
      <c r="E6" s="40" t="n">
        <f aca="false">Preços!$D$44</f>
        <v>27.4</v>
      </c>
      <c r="F6" s="30" t="n">
        <f aca="false">C6*E6</f>
        <v>54.8</v>
      </c>
      <c r="G6" s="30" t="n">
        <f aca="false">D6*E6</f>
        <v>1096</v>
      </c>
    </row>
    <row r="7" customFormat="false" ht="15" hidden="false" customHeight="false" outlineLevel="0" collapsed="false">
      <c r="A7" s="9" t="s">
        <v>763</v>
      </c>
      <c r="B7" s="9" t="s">
        <v>764</v>
      </c>
      <c r="C7" s="21" t="n">
        <f aca="false">C5*1.5</f>
        <v>7.5</v>
      </c>
      <c r="D7" s="21" t="n">
        <f aca="false">D5*1.5</f>
        <v>132</v>
      </c>
      <c r="E7" s="40" t="n">
        <f aca="false">Premissas!$B$9</f>
        <v>34.9305521472393</v>
      </c>
      <c r="F7" s="30" t="n">
        <f aca="false">C7*E7</f>
        <v>261.979141104295</v>
      </c>
      <c r="G7" s="30" t="n">
        <f aca="false">D7*E7</f>
        <v>4610.83288343558</v>
      </c>
    </row>
    <row r="8" customFormat="false" ht="15" hidden="false" customHeight="false" outlineLevel="0" collapsed="false">
      <c r="A8" s="14" t="s">
        <v>765</v>
      </c>
      <c r="B8" s="16"/>
      <c r="C8" s="16"/>
      <c r="D8" s="16"/>
      <c r="E8" s="16"/>
      <c r="F8" s="41" t="n">
        <f aca="false">SUM(F3:F7)</f>
        <v>1550.13612474438</v>
      </c>
      <c r="G8" s="41" t="n">
        <f aca="false">SUM(G3:G7)</f>
        <v>29016.8085562372</v>
      </c>
    </row>
    <row r="10" customFormat="false" ht="15" hidden="false" customHeight="false" outlineLevel="0" collapsed="false">
      <c r="A10" s="9" t="s">
        <v>766</v>
      </c>
      <c r="B10" s="9" t="s">
        <v>767</v>
      </c>
      <c r="C10" s="13"/>
      <c r="D10" s="13"/>
      <c r="E10" s="13"/>
      <c r="F10" s="40" t="n">
        <f aca="false">'A-Interno'!F34+F8</f>
        <v>21729.7550264115</v>
      </c>
      <c r="G10" s="40" t="n">
        <f aca="false">'A-Interno'!G34+G8</f>
        <v>355086.04076912</v>
      </c>
    </row>
    <row r="12" customFormat="false" ht="23.85" hidden="false" customHeight="false" outlineLevel="0" collapsed="false">
      <c r="A12" s="9" t="s">
        <v>768</v>
      </c>
      <c r="B12" s="9" t="s">
        <v>769</v>
      </c>
      <c r="C12" s="42" t="n">
        <f aca="false">C5</f>
        <v>5</v>
      </c>
      <c r="D12" s="42" t="n">
        <f aca="false">D5</f>
        <v>88</v>
      </c>
      <c r="E12" s="40" t="n">
        <f aca="false">Preços!$D$36</f>
        <v>9541.77853</v>
      </c>
      <c r="F12" s="30" t="n">
        <f aca="false">C12*E12</f>
        <v>47708.89265</v>
      </c>
      <c r="G12" s="30" t="n">
        <f aca="false">D12*E12</f>
        <v>839676.51064</v>
      </c>
    </row>
    <row r="14" customFormat="false" ht="15" hidden="false" customHeight="false" outlineLevel="0" collapsed="false">
      <c r="A14" s="6" t="s">
        <v>770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2"/>
  </cols>
  <sheetData>
    <row r="1" customFormat="false" ht="31.5" hidden="false" customHeight="true" outlineLevel="0" collapsed="false">
      <c r="A1" s="7" t="s">
        <v>390</v>
      </c>
      <c r="B1" s="7" t="s">
        <v>771</v>
      </c>
      <c r="C1" s="7" t="s">
        <v>772</v>
      </c>
      <c r="D1" s="7" t="s">
        <v>773</v>
      </c>
      <c r="E1" s="7" t="s">
        <v>400</v>
      </c>
    </row>
    <row r="2" customFormat="false" ht="15" hidden="false" customHeight="false" outlineLevel="0" collapsed="false">
      <c r="A2" s="9" t="s">
        <v>774</v>
      </c>
      <c r="B2" s="13" t="s">
        <v>775</v>
      </c>
      <c r="C2" s="20" t="n">
        <v>240</v>
      </c>
      <c r="D2" s="11" t="n">
        <f aca="false">C2*Premissas!$B$10</f>
        <v>24907.8773006135</v>
      </c>
      <c r="E2" s="9" t="s">
        <v>776</v>
      </c>
    </row>
    <row r="3" customFormat="false" ht="15" hidden="false" customHeight="false" outlineLevel="0" collapsed="false">
      <c r="A3" s="9" t="s">
        <v>777</v>
      </c>
      <c r="B3" s="13" t="s">
        <v>775</v>
      </c>
      <c r="C3" s="20" t="n">
        <v>120</v>
      </c>
      <c r="D3" s="11" t="n">
        <f aca="false">C3*Premissas!$B$10</f>
        <v>12453.9386503067</v>
      </c>
      <c r="E3" s="9" t="s">
        <v>778</v>
      </c>
    </row>
    <row r="4" customFormat="false" ht="15" hidden="false" customHeight="false" outlineLevel="0" collapsed="false">
      <c r="A4" s="9" t="s">
        <v>779</v>
      </c>
      <c r="B4" s="13" t="s">
        <v>775</v>
      </c>
      <c r="C4" s="20" t="n">
        <v>60</v>
      </c>
      <c r="D4" s="11" t="n">
        <f aca="false">C4*Premissas!$B$10</f>
        <v>6226.96932515337</v>
      </c>
      <c r="E4" s="9" t="s">
        <v>780</v>
      </c>
    </row>
    <row r="5" customFormat="false" ht="15" hidden="false" customHeight="false" outlineLevel="0" collapsed="false">
      <c r="A5" s="9" t="s">
        <v>781</v>
      </c>
      <c r="B5" s="13" t="s">
        <v>782</v>
      </c>
      <c r="C5" s="20" t="n">
        <v>160</v>
      </c>
      <c r="D5" s="11" t="n">
        <f aca="false">C5*Premissas!$B$10</f>
        <v>16605.2515337423</v>
      </c>
      <c r="E5" s="9" t="s">
        <v>783</v>
      </c>
    </row>
    <row r="6" customFormat="false" ht="15" hidden="false" customHeight="false" outlineLevel="0" collapsed="false">
      <c r="A6" s="9" t="s">
        <v>784</v>
      </c>
      <c r="B6" s="13" t="s">
        <v>785</v>
      </c>
      <c r="C6" s="20" t="n">
        <v>80</v>
      </c>
      <c r="D6" s="11" t="n">
        <f aca="false">C6*Premissas!$B$10</f>
        <v>8302.62576687117</v>
      </c>
      <c r="E6" s="9" t="s">
        <v>786</v>
      </c>
    </row>
    <row r="7" customFormat="false" ht="23.85" hidden="false" customHeight="false" outlineLevel="0" collapsed="false">
      <c r="A7" s="9" t="s">
        <v>787</v>
      </c>
      <c r="B7" s="13" t="s">
        <v>775</v>
      </c>
      <c r="C7" s="20" t="n">
        <v>120</v>
      </c>
      <c r="D7" s="11" t="n">
        <f aca="false">C7*Premissas!$B$10</f>
        <v>12453.9386503067</v>
      </c>
      <c r="E7" s="9" t="s">
        <v>788</v>
      </c>
    </row>
    <row r="8" customFormat="false" ht="15" hidden="false" customHeight="false" outlineLevel="0" collapsed="false">
      <c r="A8" s="9" t="s">
        <v>789</v>
      </c>
      <c r="B8" s="13" t="s">
        <v>775</v>
      </c>
      <c r="C8" s="20" t="n">
        <v>100</v>
      </c>
      <c r="D8" s="11" t="n">
        <f aca="false">C8*Premissas!$B$10</f>
        <v>10378.282208589</v>
      </c>
      <c r="E8" s="9" t="s">
        <v>790</v>
      </c>
    </row>
    <row r="9" customFormat="false" ht="15" hidden="false" customHeight="false" outlineLevel="0" collapsed="false">
      <c r="A9" s="9" t="s">
        <v>791</v>
      </c>
      <c r="B9" s="13" t="s">
        <v>792</v>
      </c>
      <c r="C9" s="20" t="n">
        <v>80</v>
      </c>
      <c r="D9" s="11" t="n">
        <f aca="false">C9*Premissas!$B$10</f>
        <v>8302.62576687117</v>
      </c>
      <c r="E9" s="9" t="s">
        <v>793</v>
      </c>
    </row>
    <row r="10" customFormat="false" ht="15" hidden="false" customHeight="false" outlineLevel="0" collapsed="false">
      <c r="A10" s="9" t="s">
        <v>794</v>
      </c>
      <c r="B10" s="13" t="s">
        <v>775</v>
      </c>
      <c r="C10" s="20" t="n">
        <v>120</v>
      </c>
      <c r="D10" s="11" t="n">
        <f aca="false">C10*Premissas!$B$10</f>
        <v>12453.9386503067</v>
      </c>
      <c r="E10" s="9" t="s">
        <v>795</v>
      </c>
    </row>
    <row r="11" customFormat="false" ht="23.85" hidden="false" customHeight="false" outlineLevel="0" collapsed="false">
      <c r="A11" s="9" t="s">
        <v>796</v>
      </c>
      <c r="B11" s="13" t="s">
        <v>775</v>
      </c>
      <c r="C11" s="20" t="n">
        <v>40</v>
      </c>
      <c r="D11" s="11" t="n">
        <f aca="false">C11*Premissas!$B$10</f>
        <v>4151.31288343558</v>
      </c>
      <c r="E11" s="9" t="s">
        <v>797</v>
      </c>
    </row>
    <row r="12" customFormat="false" ht="23.85" hidden="false" customHeight="false" outlineLevel="0" collapsed="false">
      <c r="A12" s="9" t="s">
        <v>798</v>
      </c>
      <c r="B12" s="13" t="s">
        <v>775</v>
      </c>
      <c r="C12" s="20" t="n">
        <v>24</v>
      </c>
      <c r="D12" s="11" t="n">
        <f aca="false">C12*Premissas!$B$10</f>
        <v>2490.78773006135</v>
      </c>
      <c r="E12" s="9" t="s">
        <v>799</v>
      </c>
    </row>
    <row r="13" customFormat="false" ht="15" hidden="false" customHeight="false" outlineLevel="0" collapsed="false">
      <c r="A13" s="9" t="s">
        <v>800</v>
      </c>
      <c r="B13" s="13" t="s">
        <v>775</v>
      </c>
      <c r="C13" s="20" t="n">
        <v>120</v>
      </c>
      <c r="D13" s="11" t="n">
        <f aca="false">C13*Premissas!$B$10</f>
        <v>12453.9386503067</v>
      </c>
      <c r="E13" s="9" t="s">
        <v>801</v>
      </c>
    </row>
    <row r="14" customFormat="false" ht="15" hidden="false" customHeight="false" outlineLevel="0" collapsed="false">
      <c r="A14" s="9" t="s">
        <v>802</v>
      </c>
      <c r="B14" s="13" t="s">
        <v>775</v>
      </c>
      <c r="C14" s="20" t="n">
        <v>40</v>
      </c>
      <c r="D14" s="11" t="n">
        <f aca="false">C14*Premissas!$B$10</f>
        <v>4151.31288343558</v>
      </c>
      <c r="E14" s="9" t="s">
        <v>803</v>
      </c>
    </row>
    <row r="15" customFormat="false" ht="15" hidden="false" customHeight="false" outlineLevel="0" collapsed="false">
      <c r="A15" s="14" t="s">
        <v>804</v>
      </c>
      <c r="B15" s="16"/>
      <c r="C15" s="45" t="n">
        <f aca="false">SUMIF(B2:B14,"A e B",C2:C14)+SUMIF(B2:B14,"A",C2:C14)</f>
        <v>1144</v>
      </c>
      <c r="D15" s="17" t="n">
        <f aca="false">C15*Premissas!$B$10</f>
        <v>118727.548466258</v>
      </c>
      <c r="E15" s="15" t="s">
        <v>805</v>
      </c>
    </row>
    <row r="16" customFormat="false" ht="15" hidden="false" customHeight="false" outlineLevel="0" collapsed="false">
      <c r="A16" s="14" t="s">
        <v>806</v>
      </c>
      <c r="B16" s="16"/>
      <c r="C16" s="45" t="n">
        <f aca="false">SUMIF(B2:B14,"RFID",C2:C14)</f>
        <v>80</v>
      </c>
      <c r="D16" s="17" t="n">
        <f aca="false">C16*Premissas!$B$10</f>
        <v>8302.62576687117</v>
      </c>
      <c r="E16" s="16"/>
    </row>
    <row r="18" customFormat="false" ht="15" hidden="false" customHeight="false" outlineLevel="0" collapsed="false">
      <c r="A18" s="6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5" t="s">
        <v>808</v>
      </c>
    </row>
    <row r="2" customFormat="false" ht="15" hidden="false" customHeight="false" outlineLevel="0" collapsed="false">
      <c r="A2" s="6" t="s">
        <v>809</v>
      </c>
    </row>
    <row r="3" customFormat="false" ht="31.5" hidden="false" customHeight="true" outlineLevel="0" collapsed="false">
      <c r="A3" s="7" t="s">
        <v>237</v>
      </c>
      <c r="B3" s="7" t="s">
        <v>662</v>
      </c>
      <c r="C3" s="7" t="s">
        <v>810</v>
      </c>
      <c r="D3" s="7" t="s">
        <v>644</v>
      </c>
      <c r="E3" s="7" t="s">
        <v>811</v>
      </c>
    </row>
    <row r="4" customFormat="false" ht="15" hidden="false" customHeight="false" outlineLevel="0" collapsed="false">
      <c r="A4" s="12" t="s">
        <v>812</v>
      </c>
    </row>
    <row r="5" customFormat="false" ht="15" hidden="false" customHeight="false" outlineLevel="0" collapsed="false">
      <c r="A5" s="9" t="s">
        <v>813</v>
      </c>
      <c r="B5" s="9" t="s">
        <v>814</v>
      </c>
      <c r="C5" s="46" t="n">
        <v>1</v>
      </c>
      <c r="D5" s="40" t="n">
        <f aca="false">Composição!$F$39</f>
        <v>673.739525</v>
      </c>
      <c r="E5" s="30" t="n">
        <f aca="false">C5*D5</f>
        <v>673.739525</v>
      </c>
    </row>
    <row r="6" customFormat="false" ht="15" hidden="false" customHeight="false" outlineLevel="0" collapsed="false">
      <c r="A6" s="9" t="s">
        <v>648</v>
      </c>
      <c r="B6" s="9" t="s">
        <v>815</v>
      </c>
      <c r="C6" s="46" t="n">
        <v>1</v>
      </c>
      <c r="D6" s="40" t="n">
        <f aca="false">Composição!$F$16</f>
        <v>117.59</v>
      </c>
      <c r="E6" s="30" t="n">
        <f aca="false">C6*D6</f>
        <v>117.59</v>
      </c>
    </row>
    <row r="7" customFormat="false" ht="15" hidden="false" customHeight="false" outlineLevel="0" collapsed="false">
      <c r="A7" s="9" t="s">
        <v>816</v>
      </c>
      <c r="B7" s="9" t="s">
        <v>817</v>
      </c>
      <c r="C7" s="46" t="n">
        <v>4</v>
      </c>
      <c r="D7" s="40" t="n">
        <f aca="false">Composição!$F$8</f>
        <v>55.2250459016394</v>
      </c>
      <c r="E7" s="30" t="n">
        <f aca="false">C7*D7</f>
        <v>220.900183606557</v>
      </c>
    </row>
    <row r="8" customFormat="false" ht="15" hidden="false" customHeight="false" outlineLevel="0" collapsed="false">
      <c r="A8" s="9" t="s">
        <v>181</v>
      </c>
      <c r="B8" s="9" t="s">
        <v>818</v>
      </c>
      <c r="C8" s="46" t="n">
        <v>2</v>
      </c>
      <c r="D8" s="40" t="n">
        <f aca="false">Composição!$F$27</f>
        <v>151.48</v>
      </c>
      <c r="E8" s="30" t="n">
        <f aca="false">C8*D8</f>
        <v>302.96</v>
      </c>
    </row>
    <row r="9" customFormat="false" ht="15" hidden="false" customHeight="false" outlineLevel="0" collapsed="false">
      <c r="A9" s="9" t="s">
        <v>684</v>
      </c>
      <c r="B9" s="9" t="s">
        <v>819</v>
      </c>
      <c r="C9" s="46" t="n">
        <v>1</v>
      </c>
      <c r="D9" s="40" t="n">
        <f aca="false">Preços!$D$48</f>
        <v>25.611</v>
      </c>
      <c r="E9" s="30" t="n">
        <f aca="false">C9*D9</f>
        <v>25.611</v>
      </c>
    </row>
    <row r="10" customFormat="false" ht="15" hidden="false" customHeight="false" outlineLevel="0" collapsed="false">
      <c r="A10" s="9" t="s">
        <v>820</v>
      </c>
      <c r="B10" s="9" t="s">
        <v>821</v>
      </c>
      <c r="C10" s="46" t="n">
        <v>20</v>
      </c>
      <c r="D10" s="40" t="n">
        <f aca="false">Preços!$D$13</f>
        <v>2.62262295081967</v>
      </c>
      <c r="E10" s="30" t="n">
        <f aca="false">C10*D10</f>
        <v>52.4524590163934</v>
      </c>
    </row>
    <row r="11" customFormat="false" ht="15" hidden="false" customHeight="false" outlineLevel="0" collapsed="false">
      <c r="A11" s="9" t="s">
        <v>822</v>
      </c>
      <c r="B11" s="9"/>
      <c r="C11" s="46" t="n">
        <v>20</v>
      </c>
      <c r="D11" s="40" t="n">
        <f aca="false">Preços!$D$12</f>
        <v>0.7099</v>
      </c>
      <c r="E11" s="30" t="n">
        <f aca="false">C11*D11</f>
        <v>14.198</v>
      </c>
    </row>
    <row r="12" customFormat="false" ht="15" hidden="false" customHeight="false" outlineLevel="0" collapsed="false">
      <c r="A12" s="9" t="s">
        <v>823</v>
      </c>
      <c r="B12" s="9" t="s">
        <v>824</v>
      </c>
      <c r="C12" s="46" t="n">
        <v>1</v>
      </c>
      <c r="D12" s="40" t="n">
        <f aca="false">Preços!$D$46</f>
        <v>66.66</v>
      </c>
      <c r="E12" s="30" t="n">
        <f aca="false">C12*D12</f>
        <v>66.66</v>
      </c>
    </row>
    <row r="13" customFormat="false" ht="15" hidden="false" customHeight="false" outlineLevel="0" collapsed="false">
      <c r="A13" s="9" t="s">
        <v>825</v>
      </c>
      <c r="B13" s="9" t="s">
        <v>826</v>
      </c>
      <c r="C13" s="46" t="n">
        <v>1</v>
      </c>
      <c r="D13" s="40" t="n">
        <f aca="false">Preços!$D$47</f>
        <v>93.63</v>
      </c>
      <c r="E13" s="30" t="n">
        <f aca="false">C13*D13</f>
        <v>93.63</v>
      </c>
    </row>
    <row r="14" customFormat="false" ht="15" hidden="false" customHeight="false" outlineLevel="0" collapsed="false">
      <c r="A14" s="9" t="s">
        <v>697</v>
      </c>
      <c r="B14" s="9" t="s">
        <v>827</v>
      </c>
      <c r="C14" s="46" t="n">
        <v>1</v>
      </c>
      <c r="D14" s="40" t="n">
        <f aca="false">Preços!$D$40</f>
        <v>285.99</v>
      </c>
      <c r="E14" s="30" t="n">
        <f aca="false">C14*D14</f>
        <v>285.99</v>
      </c>
    </row>
    <row r="15" customFormat="false" ht="15" hidden="false" customHeight="false" outlineLevel="0" collapsed="false">
      <c r="A15" s="9" t="s">
        <v>699</v>
      </c>
      <c r="B15" s="9" t="s">
        <v>828</v>
      </c>
      <c r="C15" s="46" t="n">
        <v>1</v>
      </c>
      <c r="D15" s="40" t="n">
        <f aca="false">Preços!$D$41</f>
        <v>705.69</v>
      </c>
      <c r="E15" s="30" t="n">
        <f aca="false">C15*D15</f>
        <v>705.69</v>
      </c>
    </row>
    <row r="16" customFormat="false" ht="15" hidden="false" customHeight="false" outlineLevel="0" collapsed="false">
      <c r="A16" s="13" t="s">
        <v>700</v>
      </c>
      <c r="B16" s="13" t="s">
        <v>829</v>
      </c>
      <c r="C16" s="13"/>
      <c r="D16" s="43" t="n">
        <f aca="false">Premissas!$B$27</f>
        <v>0.05</v>
      </c>
      <c r="E16" s="30" t="n">
        <f aca="false">D16*SUM(E5:E15)</f>
        <v>127.971058381148</v>
      </c>
    </row>
    <row r="17" customFormat="false" ht="15" hidden="false" customHeight="false" outlineLevel="0" collapsed="false">
      <c r="A17" s="9" t="s">
        <v>830</v>
      </c>
      <c r="B17" s="9" t="s">
        <v>831</v>
      </c>
      <c r="C17" s="21" t="n">
        <f aca="false">Premissas!$B$15+Premissas!$B$13+4*Premissas!$B$12+2*Premissas!$B$14</f>
        <v>5.75</v>
      </c>
      <c r="D17" s="40" t="n">
        <f aca="false">Premissas!$B$9</f>
        <v>34.9305521472393</v>
      </c>
      <c r="E17" s="30" t="n">
        <f aca="false">C17*D17</f>
        <v>200.850674846626</v>
      </c>
    </row>
    <row r="18" customFormat="false" ht="23.85" hidden="false" customHeight="false" outlineLevel="0" collapsed="false">
      <c r="A18" s="9" t="s">
        <v>832</v>
      </c>
      <c r="B18" s="9" t="s">
        <v>833</v>
      </c>
      <c r="C18" s="18" t="n">
        <v>16</v>
      </c>
      <c r="D18" s="40" t="n">
        <f aca="false">Premissas!$B$9</f>
        <v>34.9305521472393</v>
      </c>
      <c r="E18" s="30" t="n">
        <f aca="false">C18*D18</f>
        <v>558.888834355828</v>
      </c>
    </row>
    <row r="19" customFormat="false" ht="15" hidden="false" customHeight="false" outlineLevel="0" collapsed="false">
      <c r="A19" s="14" t="s">
        <v>834</v>
      </c>
      <c r="B19" s="16"/>
      <c r="C19" s="16"/>
      <c r="D19" s="16"/>
      <c r="E19" s="41" t="n">
        <f aca="false">SUM(E5:E18)</f>
        <v>3447.13173520655</v>
      </c>
    </row>
    <row r="21" customFormat="false" ht="15" hidden="false" customHeight="false" outlineLevel="0" collapsed="false">
      <c r="A21" s="12" t="s">
        <v>835</v>
      </c>
    </row>
    <row r="22" customFormat="false" ht="15" hidden="false" customHeight="false" outlineLevel="0" collapsed="false">
      <c r="A22" s="13" t="s">
        <v>836</v>
      </c>
      <c r="B22" s="9" t="s">
        <v>837</v>
      </c>
      <c r="C22" s="13"/>
      <c r="D22" s="13"/>
      <c r="E22" s="40" t="n">
        <f aca="false">'A-Interno'!F34</f>
        <v>20179.6189016671</v>
      </c>
    </row>
    <row r="23" customFormat="false" ht="15" hidden="false" customHeight="false" outlineLevel="0" collapsed="false">
      <c r="A23" s="13" t="s">
        <v>838</v>
      </c>
      <c r="B23" s="13" t="s">
        <v>839</v>
      </c>
      <c r="C23" s="13"/>
      <c r="D23" s="13"/>
      <c r="E23" s="30" t="n">
        <f aca="false">-('A-Interno'!F18+'A-Interno'!F19)*(1+Premissas!$B$27)</f>
        <v>-1041.264</v>
      </c>
    </row>
    <row r="24" customFormat="false" ht="23.85" hidden="false" customHeight="false" outlineLevel="0" collapsed="false">
      <c r="A24" s="13" t="s">
        <v>840</v>
      </c>
      <c r="B24" s="9" t="s">
        <v>841</v>
      </c>
      <c r="C24" s="13"/>
      <c r="D24" s="13"/>
      <c r="E24" s="30" t="n">
        <f aca="false">-(Composição!$F$39+Composição!$F$16+4*Composição!$F$8+2*Composição!$F$27)</f>
        <v>-1315.18970860656</v>
      </c>
    </row>
    <row r="25" customFormat="false" ht="15" hidden="false" customHeight="false" outlineLevel="0" collapsed="false">
      <c r="A25" s="14" t="s">
        <v>842</v>
      </c>
      <c r="B25" s="16"/>
      <c r="C25" s="16"/>
      <c r="D25" s="16"/>
      <c r="E25" s="41" t="n">
        <f aca="false">SUM(E22:E24)</f>
        <v>17823.1651930606</v>
      </c>
    </row>
    <row r="27" customFormat="false" ht="15" hidden="false" customHeight="false" outlineLevel="0" collapsed="false">
      <c r="A27" s="14" t="s">
        <v>843</v>
      </c>
      <c r="B27" s="16"/>
      <c r="C27" s="16"/>
      <c r="D27" s="16"/>
      <c r="E27" s="41" t="n">
        <f aca="false">E19+E25</f>
        <v>21270.2969282671</v>
      </c>
    </row>
    <row r="28" customFormat="false" ht="15" hidden="false" customHeight="false" outlineLevel="0" collapsed="false">
      <c r="A28" s="13" t="s">
        <v>844</v>
      </c>
      <c r="B28" s="13" t="s">
        <v>845</v>
      </c>
      <c r="C28" s="13"/>
      <c r="D28" s="43" t="n">
        <f aca="false">Premissas!$B$28</f>
        <v>0.1</v>
      </c>
      <c r="E28" s="30" t="n">
        <f aca="false">D28*E27</f>
        <v>2127.02969282671</v>
      </c>
    </row>
    <row r="29" customFormat="false" ht="15" hidden="false" customHeight="false" outlineLevel="0" collapsed="false">
      <c r="A29" s="14" t="s">
        <v>846</v>
      </c>
      <c r="B29" s="16"/>
      <c r="C29" s="16"/>
      <c r="D29" s="16"/>
      <c r="E29" s="41" t="n">
        <f aca="false">E27+E28</f>
        <v>23397.3266210938</v>
      </c>
    </row>
    <row r="31" customFormat="false" ht="15" hidden="false" customHeight="false" outlineLevel="0" collapsed="false">
      <c r="A31" s="12" t="s">
        <v>847</v>
      </c>
    </row>
    <row r="32" customFormat="false" ht="15" hidden="false" customHeight="false" outlineLevel="0" collapsed="false">
      <c r="A32" s="9" t="s">
        <v>848</v>
      </c>
      <c r="B32" s="9" t="s">
        <v>849</v>
      </c>
      <c r="C32" s="20" t="n">
        <v>160</v>
      </c>
      <c r="D32" s="40" t="n">
        <f aca="false">Premissas!$B$10</f>
        <v>103.78282208589</v>
      </c>
      <c r="E32" s="30" t="n">
        <f aca="false">C32*D32</f>
        <v>16605.2515337423</v>
      </c>
    </row>
    <row r="33" customFormat="false" ht="15" hidden="false" customHeight="false" outlineLevel="0" collapsed="false">
      <c r="A33" s="9" t="s">
        <v>850</v>
      </c>
      <c r="B33" s="9" t="s">
        <v>851</v>
      </c>
      <c r="C33" s="20" t="n">
        <v>160</v>
      </c>
      <c r="D33" s="40" t="n">
        <f aca="false">Premissas!$B$10</f>
        <v>103.78282208589</v>
      </c>
      <c r="E33" s="30" t="n">
        <f aca="false">C33*D33</f>
        <v>16605.2515337423</v>
      </c>
    </row>
    <row r="34" customFormat="false" ht="15" hidden="false" customHeight="false" outlineLevel="0" collapsed="false">
      <c r="A34" s="9" t="s">
        <v>852</v>
      </c>
      <c r="B34" s="9" t="s">
        <v>853</v>
      </c>
      <c r="C34" s="20" t="n">
        <v>60</v>
      </c>
      <c r="D34" s="40" t="n">
        <f aca="false">Premissas!$B$10</f>
        <v>103.78282208589</v>
      </c>
      <c r="E34" s="30" t="n">
        <f aca="false">C34*D34</f>
        <v>6226.96932515337</v>
      </c>
    </row>
    <row r="35" customFormat="false" ht="15" hidden="false" customHeight="false" outlineLevel="0" collapsed="false">
      <c r="A35" s="9" t="s">
        <v>854</v>
      </c>
      <c r="B35" s="9" t="s">
        <v>855</v>
      </c>
      <c r="C35" s="20" t="n">
        <v>100</v>
      </c>
      <c r="D35" s="40" t="n">
        <f aca="false">Premissas!$B$10</f>
        <v>103.78282208589</v>
      </c>
      <c r="E35" s="30" t="n">
        <f aca="false">C35*D35</f>
        <v>10378.282208589</v>
      </c>
    </row>
    <row r="36" customFormat="false" ht="15" hidden="false" customHeight="false" outlineLevel="0" collapsed="false">
      <c r="A36" s="9" t="s">
        <v>856</v>
      </c>
      <c r="B36" s="9" t="s">
        <v>857</v>
      </c>
      <c r="C36" s="20" t="n">
        <v>40</v>
      </c>
      <c r="D36" s="40" t="n">
        <f aca="false">Premissas!$B$10</f>
        <v>103.78282208589</v>
      </c>
      <c r="E36" s="30" t="n">
        <f aca="false">C36*D36</f>
        <v>4151.31288343558</v>
      </c>
    </row>
    <row r="37" customFormat="false" ht="15" hidden="false" customHeight="false" outlineLevel="0" collapsed="false">
      <c r="A37" s="9" t="s">
        <v>858</v>
      </c>
      <c r="B37" s="9" t="s">
        <v>859</v>
      </c>
      <c r="C37" s="20" t="n">
        <v>80</v>
      </c>
      <c r="D37" s="40" t="n">
        <f aca="false">Premissas!$B$10</f>
        <v>103.78282208589</v>
      </c>
      <c r="E37" s="30" t="n">
        <f aca="false">C37*D37</f>
        <v>8302.62576687117</v>
      </c>
    </row>
    <row r="38" customFormat="false" ht="15" hidden="false" customHeight="false" outlineLevel="0" collapsed="false">
      <c r="A38" s="14" t="s">
        <v>860</v>
      </c>
      <c r="B38" s="16"/>
      <c r="C38" s="45" t="n">
        <f aca="false">SUM(C32:C37)</f>
        <v>600</v>
      </c>
      <c r="D38" s="16"/>
      <c r="E38" s="41" t="n">
        <f aca="false">SUM(E32:E37)</f>
        <v>62269.6932515337</v>
      </c>
    </row>
    <row r="40" customFormat="false" ht="15" hidden="false" customHeight="false" outlineLevel="0" collapsed="false">
      <c r="A40" s="6" t="s">
        <v>861</v>
      </c>
    </row>
    <row r="41" customFormat="false" ht="15" hidden="false" customHeight="false" outlineLevel="0" collapsed="false">
      <c r="A41" s="6" t="s">
        <v>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2026-10-27T17:40:12Z</dcterms:created>
  <dc:creator>openpyxl</dc:creator>
  <dc:description/>
  <dc:language>en-US</dc:language>
  <cp:lastModifiedBy/>
  <dcterms:modified xsi:type="dcterms:W3CDTF">2026-10-27T17:40:12Z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