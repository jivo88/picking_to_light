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Resumo" sheetId="2" state="visible" r:id="rId4"/>
    <sheet name="Premissas" sheetId="3" state="visible" r:id="rId5"/>
    <sheet name="Estações" sheetId="4" state="visible" r:id="rId6"/>
    <sheet name="Preços" sheetId="5" state="visible" r:id="rId7"/>
    <sheet name="Composição" sheetId="6" state="visible" r:id="rId8"/>
    <sheet name="A-Interno" sheetId="7" state="visible" r:id="rId9"/>
    <sheet name="A-Terceiros" sheetId="8" state="visible" r:id="rId10"/>
    <sheet name="RFID-futuro" sheetId="9" state="visible" r:id="rId11"/>
    <sheet name="Software" sheetId="10" state="visible" r:id="rId12"/>
    <sheet name="POC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<sst xmlns="http://schemas.openxmlformats.org/spreadsheetml/2006/main" count="988" uniqueCount="596">
  <si>
    <t xml:space="preserve">Orçamento do projeto Pick-to-Light (flow rack)</t>
  </si>
  <si>
    <t xml:space="preserve">Arquitetura A: coletor MovFast + concentrador + displays. RFID com pulseira fica como melhoria futura. Revisão 26/10/2026.</t>
  </si>
  <si>
    <t xml:space="preserve">COMO USAR</t>
  </si>
  <si>
    <t xml:space="preserve">• Células em AZUL são entradas editáveis (quantidades, preços, premissas). Células em PRETO são fórmulas: não editar.</t>
  </si>
  <si>
    <t xml:space="preserve">• Células com fundo AMARELO são premissas/estimativas que precisam de cotação ou confirmação.</t>
  </si>
  <si>
    <t xml:space="preserve">• Aba 'Estações': números de endereços por estação, extraídos de wms_endereco (esteiras 1 e 2) em 23/10/2026. Corrija qualquer número direto ali: todo o orçamento recalcula.</t>
  </si>
  <si>
    <t xml:space="preserve">• Coluna 'Piloto' (S/N) na aba 'Estações' define quais estações entram no cenário piloto (POC: 04 e 27).</t>
  </si>
  <si>
    <t xml:space="preserve">• Aba 'Preços': catálogo de peças com fonte e data. Itens marcados 'Estimativa' devem ser cotados antes da compra.</t>
  </si>
  <si>
    <t xml:space="preserve">• A operação completa inclui as estações do piloto (não somar os dois).</t>
  </si>
  <si>
    <t xml:space="preserve">ABAS</t>
  </si>
  <si>
    <t xml:space="preserve">Resumo: comparativo de todos os cenários (piloto x operação completa), contingência e investimento total recomendado.</t>
  </si>
  <si>
    <t xml:space="preserve">Premissas: câmbio, fator de importação, custos-hora, horas de montagem/instalação, metragens, reserva, frete, contingência.</t>
  </si>
  <si>
    <t xml:space="preserve">Estações: dimensionamento por estação (40 estações: 20 Medicamento + 20 Perfumaria).</t>
  </si>
  <si>
    <t xml:space="preserve">Preços: catálogo de peças com fonte.</t>
  </si>
  <si>
    <t xml:space="preserve">Composição: lista de materiais (BOM) de cada tipo de módulo e custo unitário.</t>
  </si>
  <si>
    <t xml:space="preserve">A-Interno: Arquitetura A com produção interna: peças, infraestrutura, mão de obra, treinamento, variante 5 V.</t>
  </si>
  <si>
    <t xml:space="preserve">A-Terceiros: Arquitetura A com produção de terceiros: (T1) placa própria montada por EMS e (T2) PTL comercial importado.</t>
  </si>
  <si>
    <t xml:space="preserve">RFID-futuro: melhoria futura, fora da POC e da implantação inicial: tag na caixa + pulseira NFC (acréscimo sobre a Arquitetura A).</t>
  </si>
  <si>
    <t xml:space="preserve">Software: esforço estimado de desenvolvimento (horas) para as duas arquiteturas.</t>
  </si>
  <si>
    <t xml:space="preserve">TERMOS</t>
  </si>
  <si>
    <t xml:space="preserve">Módulo Q: display de QUANTIDADE (3 dígitos) + botão com LED, um por endereço de alto giro (andares 0 a 3).</t>
  </si>
  <si>
    <t xml:space="preserve">Módulo E+Q: display de ENDEREÇO (8 dígitos) + QUANTIDADE (3 dígitos) + botão; usado nos andares 4 e 5 do alto giro (2 zonas por estação: P001–P005 e P006–P010, por baixo da esteira de separação) e em cada zona de baixo giro (2 zonas por lado do corredor, na altura dos olhos).</t>
  </si>
  <si>
    <t xml:space="preserve">Nó de coluna: microcontrolador por coluna (prédio) do alto giro que liga até 4 Módulos Q ao barramento RS-485 (nos dados, nenhum prédio tem mais de 4 endereços nos andares 0-3).</t>
  </si>
  <si>
    <t xml:space="preserve">Concentrador: controlador da estação (Ethernet cabeada), recebe a caixa do serviço PTL e comanda os 2 barramentos.</t>
  </si>
  <si>
    <t xml:space="preserve">Zona de baixo giro: 2 zonas por lado do corredor (cerca de 6 prédios cada), cada uma com 1 display E+Q na altura dos olhos (o prédio 015 entra na zona D1; esquinas têm zonas de 4 prédios).</t>
  </si>
  <si>
    <t xml:space="preserve">Sinal de baixo giro: luz âmbar ao lado da posição de pega que acende quando a caixa tem itens no corredor.</t>
  </si>
  <si>
    <t xml:space="preserve">O QUE MUDOU NA REVISÃO DE 26/10/2026</t>
  </si>
  <si>
    <t xml:space="preserve">• Canaleta calculada pelo layout real de cada estação (frente do alto giro + descidas por prédio + 2 lados do corredor + travessia), com as medidas do desenho de 26/10/2026: estação de 2,5 m, corredor de 1,2 m, prateleiras de 50 cm × 2 m (cerca de 27 m por estação).</t>
  </si>
  <si>
    <t xml:space="preserve">• Concentrador atrás da estação: travessia de 6 m por cima das esteiras até o corredor.</t>
  </si>
  <si>
    <t xml:space="preserve">• Barramento: 1 cabo por nó/módulo E+Q + cabo de saída das 2 portas do concentrador (antes: +2 segmentos genéricos).</t>
  </si>
  <si>
    <t xml:space="preserve">• Itens que faltavam: alimentação do concentrador (cabo PP, plugue, DPS), pontos de tomada novos, nobreak e mini rack dos switches, cabo de uplink, ferramentas de montagem e frete das compras.</t>
  </si>
  <si>
    <t xml:space="preserve">• Botão de confirmação trocado por botão metálico com anel de LED (cerca de 6.000 confirmações por estação por dia).</t>
  </si>
  <si>
    <t xml:space="preserve">• Instalação calculada por quantidade de módulos e metros de canaleta, com hora extra (instalação fora do horário de separação).</t>
  </si>
  <si>
    <t xml:space="preserve">• Treinamento de operadores e manutenção incluído em todos os cenários.</t>
  </si>
  <si>
    <t xml:space="preserve">• RFID (melhoria futura): 2 pulseiras por estação (a bateria de 500 mAh não cobre um turno inteiro com leitura contínua) + carregador.</t>
  </si>
  <si>
    <t xml:space="preserve">• Leitor fixo na estação (antiga opção B2) retirado do projeto; o foco é o coletor, e o RFID com pulseira fica como melhoria futura.</t>
  </si>
  <si>
    <t xml:space="preserve">• T1: horas de montagem final/gravação dos módulos vindos da EMS; T1/T2: cabo em cadeia dos módulos Q com 1 m por módulo.</t>
  </si>
  <si>
    <t xml:space="preserve">• Software: custo-hora calculado com o salário de mercado de analista de desenvolvimento (antes R$ 60/h fixo) e implantação do servidor/broker incluída.</t>
  </si>
  <si>
    <t xml:space="preserve">• Câmbio atualizado (fechamento de 23/10/2026) e contingência de 10% no Resumo.</t>
  </si>
  <si>
    <t xml:space="preserve">• Ajuste de 26/10/2026 (tarde): 2 displays E+Q nos andares 4-5 (antes 4) e 2 zonas por lado no baixo giro (antes 4), o que reduz os módulos E+Q de 485 para 251; sinal luminoso de baixo giro por estação.</t>
  </si>
  <si>
    <t xml:space="preserve">Resumo do orçamento, Pick-to-Light</t>
  </si>
  <si>
    <t xml:space="preserve">Piloto: estações marcadas 'S' na aba Estações (POC: 04 e 27). A operação completa já inclui o piloto. Hardware, instalação e treinamento; software nas linhas abaixo.</t>
  </si>
  <si>
    <t xml:space="preserve">Cenário</t>
  </si>
  <si>
    <t xml:space="preserve">Descrição</t>
  </si>
  <si>
    <t xml:space="preserve">Piloto (R$)</t>
  </si>
  <si>
    <t xml:space="preserve">Operação completa (R$)</t>
  </si>
  <si>
    <t xml:space="preserve">Por estação, completo (R$)</t>
  </si>
  <si>
    <t xml:space="preserve">Completo + contingência (R$)</t>
  </si>
  <si>
    <t xml:space="preserve">A interno, só materiais (12 V)</t>
  </si>
  <si>
    <t xml:space="preserve">Peças, infraestrutura e frete; montagem própria</t>
  </si>
  <si>
    <t xml:space="preserve">A interno, só materiais (variante 5 V)</t>
  </si>
  <si>
    <t xml:space="preserve">Sem reguladores, fonte 5 V, mais cabo de força</t>
  </si>
  <si>
    <t xml:space="preserve">A interno, materiais + mão de obra</t>
  </si>
  <si>
    <t xml:space="preserve">Montagem, instalação, comissionamento e treinamento internos</t>
  </si>
  <si>
    <t xml:space="preserve">A terceiros, T1 (PCB própria via EMS)</t>
  </si>
  <si>
    <t xml:space="preserve">Placas próprias fabricadas/montadas por terceiros + instalação</t>
  </si>
  <si>
    <t xml:space="preserve">A terceiros, T2 (PTL comercial importado)</t>
  </si>
  <si>
    <t xml:space="preserve">Hardware PTL pronto + instalação</t>
  </si>
  <si>
    <t xml:space="preserve">Melhoria futura: RFID com pulseira</t>
  </si>
  <si>
    <t xml:space="preserve">Acréscimo sobre a A: tags nas caixas + pulseiras (não incluído no investimento)</t>
  </si>
  <si>
    <t xml:space="preserve">Desenvolvimento de software (interno)</t>
  </si>
  <si>
    <t xml:space="preserve">Arquitetura A (app próprio)</t>
  </si>
  <si>
    <t xml:space="preserve">Melhoria futura: RFID (acréscimo)</t>
  </si>
  <si>
    <t xml:space="preserve">Investimento total, Arquitetura A (proposta)</t>
  </si>
  <si>
    <t xml:space="preserve">A interno com contingência + software da Arquitetura A</t>
  </si>
  <si>
    <t xml:space="preserve">POC (bancada + estações 04 e 27)</t>
  </si>
  <si>
    <t xml:space="preserve">Hardware com contingência (aba POC); software da POC é interno</t>
  </si>
  <si>
    <t xml:space="preserve">Volume da operação (informado): ~3.000 volumes/dia e 250.000 a 270.000 produtos separados por dia.</t>
  </si>
  <si>
    <t xml:space="preserve">Premissa</t>
  </si>
  <si>
    <t xml:space="preserve">Valor</t>
  </si>
  <si>
    <t xml:space="preserve">Unidade</t>
  </si>
  <si>
    <t xml:space="preserve">Fonte / observação</t>
  </si>
  <si>
    <t xml:space="preserve">Câmbio USD/BRL (comercial)</t>
  </si>
  <si>
    <t xml:space="preserve">R$/US$</t>
  </si>
  <si>
    <t xml:space="preserve">renovainvest.com.br/dolar-hoje, fechamento de 23/10/2026 (13h07, mercado fechado)</t>
  </si>
  <si>
    <t xml:space="preserve">Fator de importação (frete + impostos + despacho) sobre o valor FOB</t>
  </si>
  <si>
    <t xml:space="preserve">x</t>
  </si>
  <si>
    <t xml:space="preserve">Estimativa para importação formal de eletrônicos (II + IPI + PIS/COFINS + ICMS + frete). Confirmar com Comércio Exterior.</t>
  </si>
  <si>
    <t xml:space="preserve">Salário médio técnico eletrônico (CLT)</t>
  </si>
  <si>
    <t xml:space="preserve">R$/mês</t>
  </si>
  <si>
    <t xml:space="preserve">salario.com.br, CBO 313215, atualizado em 08/10/2026 (CAGED)</t>
  </si>
  <si>
    <t xml:space="preserve">Salário médio analista de desenvolvimento de sistemas (CLT)</t>
  </si>
  <si>
    <t xml:space="preserve">salario.com.br, CBO 212405, atualizado em 08/10/2026 (CAGED)</t>
  </si>
  <si>
    <t xml:space="preserve">Salário médio auxiliar de logística (operador da estação)</t>
  </si>
  <si>
    <t xml:space="preserve">salario.com.br, CBO 414140, atualizado em 08/10/2026 (CAGED)</t>
  </si>
  <si>
    <t xml:space="preserve">Fator de encargos e benefícios sobre salário</t>
  </si>
  <si>
    <t xml:space="preserve">Estimativa usual (encargos + benefícios + provisões). Ajustar com RH.</t>
  </si>
  <si>
    <t xml:space="preserve">Horas produtivas por mês</t>
  </si>
  <si>
    <t xml:space="preserve">h</t>
  </si>
  <si>
    <t xml:space="preserve">44 h/semana com ausências</t>
  </si>
  <si>
    <t xml:space="preserve">Custo-hora técnico (calculado)</t>
  </si>
  <si>
    <t xml:space="preserve">R$/h</t>
  </si>
  <si>
    <t xml:space="preserve">Fórmula: salário × encargos ÷ horas</t>
  </si>
  <si>
    <t xml:space="preserve">Custo-hora desenvolvimento interno (calculado)</t>
  </si>
  <si>
    <t xml:space="preserve">Fórmula: salário × encargos ÷ horas (antes: R$ 60/h fixo)</t>
  </si>
  <si>
    <t xml:space="preserve">Custo-hora operador (calculado)</t>
  </si>
  <si>
    <t xml:space="preserve">Usado no tempo de treinamento dos operadores</t>
  </si>
  <si>
    <t xml:space="preserve">Montagem, Módulo Q</t>
  </si>
  <si>
    <t xml:space="preserve">h/un</t>
  </si>
  <si>
    <t xml:space="preserve">Estimativa: display + botão + carcaça + teste</t>
  </si>
  <si>
    <t xml:space="preserve">Montagem, Nó de coluna</t>
  </si>
  <si>
    <t xml:space="preserve">Estimativa: placa base, soldas, gravação de firmware, teste</t>
  </si>
  <si>
    <t xml:space="preserve">Montagem, Módulo E+Q</t>
  </si>
  <si>
    <t xml:space="preserve">Estimativa</t>
  </si>
  <si>
    <t xml:space="preserve">Montagem, Concentrador (gabinete completo)</t>
  </si>
  <si>
    <t xml:space="preserve">Instalação, parte fixa por estação</t>
  </si>
  <si>
    <t xml:space="preserve">h/estação</t>
  </si>
  <si>
    <t xml:space="preserve">Concentrador, energia, cabo de rede, passagem da frente para o corredor</t>
  </si>
  <si>
    <t xml:space="preserve">Instalação por Módulo Q (fixar, ligar, etiquetar)</t>
  </si>
  <si>
    <t xml:space="preserve">Instalação por Nó de coluna</t>
  </si>
  <si>
    <t xml:space="preserve">Instalação por Módulo E+Q</t>
  </si>
  <si>
    <t xml:space="preserve">Instalação de canaleta</t>
  </si>
  <si>
    <t xml:space="preserve">h/m</t>
  </si>
  <si>
    <t xml:space="preserve">Estimativa (cerca de 5 min por metro)</t>
  </si>
  <si>
    <t xml:space="preserve">Testes e comissionamento por estação</t>
  </si>
  <si>
    <t xml:space="preserve">Teste de cada endereço + caixa de teste ponta a ponta</t>
  </si>
  <si>
    <t xml:space="preserve">Fator de hora extra na instalação e comissionamento</t>
  </si>
  <si>
    <t xml:space="preserve">Instalação fora do horário de separação (hora extra 50%). Use 1,0 se for feita no horário normal.</t>
  </si>
  <si>
    <t xml:space="preserve">Turnos de separação por dia</t>
  </si>
  <si>
    <t xml:space="preserve">turnos</t>
  </si>
  <si>
    <t xml:space="preserve">CONFIRMAR com a operação (define pessoas a treinar)</t>
  </si>
  <si>
    <t xml:space="preserve">Treinamento por operador</t>
  </si>
  <si>
    <t xml:space="preserve">Estimativa: uso da estação, fechamento, falhas comuns</t>
  </si>
  <si>
    <t xml:space="preserve">Treinamento da equipe de manutenção (total)</t>
  </si>
  <si>
    <t xml:space="preserve">Estimativa: troca de módulo, diagnóstico, painel</t>
  </si>
  <si>
    <t xml:space="preserve">Reserva técnica (peças sobressalentes)</t>
  </si>
  <si>
    <t xml:space="preserve">%</t>
  </si>
  <si>
    <t xml:space="preserve">Sobre módulos, nós e concentradores</t>
  </si>
  <si>
    <t xml:space="preserve">Frete das compras nacionais</t>
  </si>
  <si>
    <t xml:space="preserve">Estimativa sobre as peças e a infraestrutura; itens importados já têm frete no fator de importação</t>
  </si>
  <si>
    <t xml:space="preserve">Contingência do projeto</t>
  </si>
  <si>
    <t xml:space="preserve">Reserva para imprevistos de instalação e variação de preço (aplicada no Resumo)</t>
  </si>
  <si>
    <t xml:space="preserve">Cabo de barramento por segmento (entre nós/módulos)</t>
  </si>
  <si>
    <t xml:space="preserve">m</t>
  </si>
  <si>
    <t xml:space="preserve">Estimativa de layout</t>
  </si>
  <si>
    <t xml:space="preserve">Cabo de cada saída do concentrador até o 1º equipamento</t>
  </si>
  <si>
    <t xml:space="preserve">Média das 2 saídas: alto giro ≈ 2 m (logo atrás) e baixo giro ≈ 10 m (por cima das esteiras)</t>
  </si>
  <si>
    <t xml:space="preserve">Largura de um prédio do alto giro</t>
  </si>
  <si>
    <t xml:space="preserve">Desenho de 26/10/2026: 2,5 m de alto giro por estação (10 prédios)</t>
  </si>
  <si>
    <t xml:space="preserve">Linhas horizontais de canaleta na frente do alto giro</t>
  </si>
  <si>
    <t xml:space="preserve">linhas</t>
  </si>
  <si>
    <t xml:space="preserve">1 acima do andar 3 (barramento dos nós) + 1 nos andares 4-5 (E+Q)</t>
  </si>
  <si>
    <t xml:space="preserve">Descida vertical de canaleta por prédio do alto giro</t>
  </si>
  <si>
    <t xml:space="preserve">Do nó até os módulos Q dos andares 0-3</t>
  </si>
  <si>
    <t xml:space="preserve">Comprimento de prateleira por lado do corredor</t>
  </si>
  <si>
    <t xml:space="preserve">Desenho de 26/10/2026: prateleiras de 50 cm × 2 m; 1 linha de canaleta na altura dos olhos em cada lado</t>
  </si>
  <si>
    <t xml:space="preserve">Travessia por estação (concentrador atrás → por cima das esteiras → corredor)</t>
  </si>
  <si>
    <t xml:space="preserve">Concentrador fica atrás da estação, do outro lado do alto giro</t>
  </si>
  <si>
    <t xml:space="preserve">Cabo de rede do switch até a estação</t>
  </si>
  <si>
    <t xml:space="preserve">Switch instalado no meio de cada segmento (máx. 90 m por lance)</t>
  </si>
  <si>
    <t xml:space="preserve">Estações atendidas por switch de 24 portas</t>
  </si>
  <si>
    <t xml:space="preserve">estações</t>
  </si>
  <si>
    <t xml:space="preserve">Deixa portas livres para uplink/reserva</t>
  </si>
  <si>
    <t xml:space="preserve">Cabo de uplink por switch até a rede corporativa</t>
  </si>
  <si>
    <t xml:space="preserve">Se passar de 90 m, trocar por fibra/conversor de mídia</t>
  </si>
  <si>
    <t xml:space="preserve">Estações sem tomada 220 V a até 3 m</t>
  </si>
  <si>
    <t xml:space="preserve">CONFIRMAR com a manutenção predial</t>
  </si>
  <si>
    <t xml:space="preserve">Frota de caixas retornáveis (RFID, melhoria futura)</t>
  </si>
  <si>
    <t xml:space="preserve">caixas</t>
  </si>
  <si>
    <t xml:space="preserve">Estimativa: ~1,7 × 3.000 volumes/dia. CONFIRMAR com a operação.</t>
  </si>
  <si>
    <t xml:space="preserve">Pulseiras por estação (RFID, melhoria futura)</t>
  </si>
  <si>
    <t xml:space="preserve">un</t>
  </si>
  <si>
    <t xml:space="preserve">2 por estação (uma carregando; 500 mAh dura cerca de 5 h lendo) + 10% reserva</t>
  </si>
  <si>
    <t xml:space="preserve">Cabo de força extra por estação na variante 5 V</t>
  </si>
  <si>
    <t xml:space="preserve">Distribuição de 5 V exige mais pontos de injeção</t>
  </si>
  <si>
    <t xml:space="preserve">Cabo por Módulo Q em cadeia (T1/T2)</t>
  </si>
  <si>
    <t xml:space="preserve">Módulos vizinhos ligados em sequência</t>
  </si>
  <si>
    <t xml:space="preserve">Montagem final + gravação + teste por módulo vindo da EMS (T1)</t>
  </si>
  <si>
    <t xml:space="preserve">Rua (estação)</t>
  </si>
  <si>
    <t xml:space="preserve">Segmento</t>
  </si>
  <si>
    <t xml:space="preserve">Tipo</t>
  </si>
  <si>
    <t xml:space="preserve">Piloto (S/N)</t>
  </si>
  <si>
    <t xml:space="preserve">Total de endereços</t>
  </si>
  <si>
    <t xml:space="preserve">Alto giro 0-3
(Módulos Q)</t>
  </si>
  <si>
    <t xml:space="preserve">Alto giro 4-5
(endereços)</t>
  </si>
  <si>
    <t xml:space="preserve">E+Q alto giro
4-5 (2 zonas)</t>
  </si>
  <si>
    <t xml:space="preserve">Baixo giro
(endereços)</t>
  </si>
  <si>
    <t xml:space="preserve">Zonas baixo giro
(E+Q)</t>
  </si>
  <si>
    <t xml:space="preserve">Nós de coluna</t>
  </si>
  <si>
    <t xml:space="preserve">Prédios do
baixo giro</t>
  </si>
  <si>
    <t xml:space="preserve">Módulos E+Q</t>
  </si>
  <si>
    <t xml:space="preserve">Segmentos de
barramento</t>
  </si>
  <si>
    <t xml:space="preserve">Concentrador</t>
  </si>
  <si>
    <t xml:space="preserve">03</t>
  </si>
  <si>
    <t xml:space="preserve">Medicamento</t>
  </si>
  <si>
    <t xml:space="preserve">Ponta</t>
  </si>
  <si>
    <t xml:space="preserve">N</t>
  </si>
  <si>
    <t xml:space="preserve">04</t>
  </si>
  <si>
    <t xml:space="preserve">Comum</t>
  </si>
  <si>
    <t xml:space="preserve">S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</si>
  <si>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</si>
  <si>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</si>
  <si>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</si>
  <si>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</si>
  <si>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</si>
  <si>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Esquina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</si>
  <si>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</si>
  <si>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</si>
  <si>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</si>
  <si>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</si>
  <si>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</si>
  <si>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</si>
  <si>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</si>
  <si>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</si>
  <si>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</si>
  <si>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</si>
  <si>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</si>
  <si>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</si>
  <si>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</si>
  <si>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26</t>
  </si>
  <si>
    <t xml:space="preserve">Perfumaria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</si>
  <si>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</si>
  <si>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</si>
  <si>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</si>
  <si>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</si>
  <si>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</si>
  <si>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</si>
  <si>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</si>
  <si>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</si>
  <si>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</si>
  <si>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</si>
  <si>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</si>
  <si>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</si>
  <si>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</si>
  <si>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</si>
  <si>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</si>
  <si>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</si>
  <si>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</si>
  <si>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</si>
  <si>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</si>
  <si>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Total da operação completa</t>
  </si>
  <si>
    <t xml:space="preserve">Total do piloto (Piloto = S)</t>
  </si>
  <si>
    <t xml:space="preserve">Coluna D (Piloto) = quantidade de estações nas linhas de total. Fonte: wms_endereco (cd_esteira 1 e 2), exportado em 23/10/2026; rua 90 (Marketing/Almoxarifado) desconsiderada.</t>
  </si>
  <si>
    <t xml:space="preserve">Regras: Alto giro = prédios 001-010; andares 4-5 com 2 displays E+Q por estação (zonas 001-005 e 006-010). Baixo giro = demais prédios (corredor, 015 e esquinas): 2 zonas E+Q por lado do corredor; esquinas com zonas de 4 prédios.</t>
  </si>
  <si>
    <t xml:space="preserve">Segmentos de barramento = 1 cabo de entrada por nó e por módulo E+Q (ligação em cadeia nas 2 portas do concentrador).</t>
  </si>
  <si>
    <t xml:space="preserve">Código</t>
  </si>
  <si>
    <t xml:space="preserve">Item</t>
  </si>
  <si>
    <t xml:space="preserve">Preço (R$)</t>
  </si>
  <si>
    <t xml:space="preserve">Preço (US$)</t>
  </si>
  <si>
    <t xml:space="preserve">Fonte / data</t>
  </si>
  <si>
    <t xml:space="preserve">Status</t>
  </si>
  <si>
    <t xml:space="preserve">P01</t>
  </si>
  <si>
    <t xml:space="preserve">Display 7 segmentos 4 dígitos TM1637 (usa 3 dígitos, quantidade)</t>
  </si>
  <si>
    <t xml:space="preserve">Usinainfo, Módulo Display TM1637 4 dígitos vermelho, 23/10/2026 (Pix)</t>
  </si>
  <si>
    <t xml:space="preserve">Cotado</t>
  </si>
  <si>
    <t xml:space="preserve">P02</t>
  </si>
  <si>
    <t xml:space="preserve">Display 7 segmentos 8 dígitos MAX7219 (endereço)</t>
  </si>
  <si>
    <t xml:space="preserve">Usinainfo, Display MAX7219 8 dígitos SPI, 23/10/2026 (Pix)</t>
  </si>
  <si>
    <t xml:space="preserve">P03</t>
  </si>
  <si>
    <t xml:space="preserve">Microcontrolador Raspberry Pi Pico (RP2040)</t>
  </si>
  <si>
    <t xml:space="preserve">MakerHero, Raspberry Pi Pico, 23/10/2026</t>
  </si>
  <si>
    <t xml:space="preserve">P04</t>
  </si>
  <si>
    <t xml:space="preserve">Módulo transceptor RS-485 (MAX485)</t>
  </si>
  <si>
    <t xml:space="preserve">Saravati, Módulo conversor TTL/RS485 MAX485, 23/10/2026</t>
  </si>
  <si>
    <t xml:space="preserve">P05</t>
  </si>
  <si>
    <t xml:space="preserve">Placa do concentrador RP2040 + Ethernet W5500 (W5500-EVB-Pico)</t>
  </si>
  <si>
    <t xml:space="preserve">SparkFun DEV-19958 US$ 12,50, 23/10/2026; convertido com câmbio × fator de importação</t>
  </si>
  <si>
    <t xml:space="preserve">Cotado (US$)</t>
  </si>
  <si>
    <t xml:space="preserve">P06</t>
  </si>
  <si>
    <t xml:space="preserve">Fonte Mean Well LRS-150-12 (12 V / 12,5 A / 150 W)</t>
  </si>
  <si>
    <t xml:space="preserve">MCEIG (fontesmeanwell.com.br), 23/10/2026. Carga estimada &lt; 40 W por estação: folga para expansão</t>
  </si>
  <si>
    <t xml:space="preserve">P07</t>
  </si>
  <si>
    <t xml:space="preserve">Fonte Mean Well LRS-150-5 (5 V / 22 A), variante 5 V</t>
  </si>
  <si>
    <t xml:space="preserve">Estimativa (mesma família da LRS-150-12), cotar</t>
  </si>
  <si>
    <t xml:space="preserve">P08</t>
  </si>
  <si>
    <t xml:space="preserve">Regulador step-down 12 V → 5 V (mini, 3 A)</t>
  </si>
  <si>
    <t xml:space="preserve">Estimativa de mercado, cotar</t>
  </si>
  <si>
    <t xml:space="preserve">P09</t>
  </si>
  <si>
    <t xml:space="preserve">Botão de confirmação metálico 16 mm com anel de LED 12 V (momentâneo)</t>
  </si>
  <si>
    <t xml:space="preserve">Estimativa de mercado, cotar. Botão plástico comum não aguenta ~6.000 toques/dia por estação</t>
  </si>
  <si>
    <t xml:space="preserve">P10</t>
  </si>
  <si>
    <t xml:space="preserve">Conector RJ45 fêmea para placa (jack)</t>
  </si>
  <si>
    <t xml:space="preserve">Estimativa, cotar</t>
  </si>
  <si>
    <t xml:space="preserve">P11</t>
  </si>
  <si>
    <t xml:space="preserve">Plug RJ45 Cat5e (macho)</t>
  </si>
  <si>
    <t xml:space="preserve">Estimativa (pote com 100), cotar</t>
  </si>
  <si>
    <t xml:space="preserve">P12</t>
  </si>
  <si>
    <t xml:space="preserve">Cabo Cat5e (por metro)</t>
  </si>
  <si>
    <t xml:space="preserve">KaBuM, Cabo Cat5e Fortrek FK500C 305 m R$ 1.229,41 (Pix), 23/10/2026</t>
  </si>
  <si>
    <t xml:space="preserve">P13</t>
  </si>
  <si>
    <t xml:space="preserve">Carcaça do Módulo Q (impressão 3D PETG ou caixa plástica pequena)</t>
  </si>
  <si>
    <t xml:space="preserve">P14</t>
  </si>
  <si>
    <t xml:space="preserve">Carcaça do Módulo E+Q / Nó de coluna</t>
  </si>
  <si>
    <t xml:space="preserve">P15</t>
  </si>
  <si>
    <t xml:space="preserve">Placa base universal + bornes (nó / módulo E+Q)</t>
  </si>
  <si>
    <t xml:space="preserve">P16</t>
  </si>
  <si>
    <t xml:space="preserve">Gabinete do concentrador ventilado (caixa IP54 + cooler 40 mm 12 V + filtro)</t>
  </si>
  <si>
    <t xml:space="preserve">Estimativa, cotar (ambiente com poeira e calor)</t>
  </si>
  <si>
    <t xml:space="preserve">P17</t>
  </si>
  <si>
    <t xml:space="preserve">Trilho DIN + bornes + disjuntor 2 A</t>
  </si>
  <si>
    <t xml:space="preserve">kit</t>
  </si>
  <si>
    <t xml:space="preserve">P18</t>
  </si>
  <si>
    <t xml:space="preserve">Canaleta / perfil de fixação dos módulos (por metro)</t>
  </si>
  <si>
    <t xml:space="preserve">Estimativa (canaleta PVC 20×10 mm em barra de 2 m), cotar</t>
  </si>
  <si>
    <t xml:space="preserve">P19</t>
  </si>
  <si>
    <t xml:space="preserve">Fixações diversas por estação (abraçadeiras, parafusos, etiquetas, plugs da rede)</t>
  </si>
  <si>
    <t xml:space="preserve">P20</t>
  </si>
  <si>
    <t xml:space="preserve">Switch 24 portas Gigabit TP-Link TL-SG1024DE</t>
  </si>
  <si>
    <t xml:space="preserve">KaBuM, 23/10/2026 (Pix)</t>
  </si>
  <si>
    <t xml:space="preserve">P21</t>
  </si>
  <si>
    <t xml:space="preserve">(não usado) LED guia de coluna, retirado em 26/10/2026</t>
  </si>
  <si>
    <t xml:space="preserve">LED</t>
  </si>
  <si>
    <t xml:space="preserve">Não faz parte do projeto</t>
  </si>
  <si>
    <t xml:space="preserve">Retirado</t>
  </si>
  <si>
    <t xml:space="preserve">P22</t>
  </si>
  <si>
    <t xml:space="preserve">Tag NFC NTAG213 adesiva 13,56 MHz</t>
  </si>
  <si>
    <t xml:space="preserve">Loja RFID, lote 100 un R$ 237,41 à vista, 23/10/2026 (lote de 5.000 deve sair mais barato)</t>
  </si>
  <si>
    <t xml:space="preserve">P23</t>
  </si>
  <si>
    <t xml:space="preserve">Suporte/proteção da tag na caixa retornável</t>
  </si>
  <si>
    <t xml:space="preserve">P24</t>
  </si>
  <si>
    <t xml:space="preserve">ESP32-C3 Super Mini (pulseira)</t>
  </si>
  <si>
    <t xml:space="preserve">Usinainfo, 23/10/2026 (Pix)</t>
  </si>
  <si>
    <t xml:space="preserve">P25</t>
  </si>
  <si>
    <t xml:space="preserve">Módulo leitor NFC PN532 (43×40 mm, com cartão e chaveiro)</t>
  </si>
  <si>
    <t xml:space="preserve">MakerHero, Kit Módulo Leitor RFID NFC PN532, 23/10/2026 (Pix)</t>
  </si>
  <si>
    <t xml:space="preserve">P26</t>
  </si>
  <si>
    <t xml:space="preserve">Kit energia pulseira (LiPo 500 mAh + TP4056 + motor vibração + botão)</t>
  </si>
  <si>
    <t xml:space="preserve">P27</t>
  </si>
  <si>
    <t xml:space="preserve">Carcaça 3D + pulseira velcro</t>
  </si>
  <si>
    <t xml:space="preserve">P29</t>
  </si>
  <si>
    <t xml:space="preserve">Módulo PTL comercial 3 dígitos + botão (RS-485)</t>
  </si>
  <si>
    <t xml:space="preserve">Alibaba, Sophia T-P3: US$ 32 (1-299 un) / US$ 28 (300+), 23/10/2026; média US$ 30</t>
  </si>
  <si>
    <t xml:space="preserve">P30</t>
  </si>
  <si>
    <t xml:space="preserve">Módulo PTL comercial endereço + quantidade (display alfanumérico)</t>
  </si>
  <si>
    <t xml:space="preserve">Estimativa (não há preço público), solicitar cotação a fornecedores</t>
  </si>
  <si>
    <t xml:space="preserve">P31</t>
  </si>
  <si>
    <t xml:space="preserve">Controlador/gateway PTL comercial por estação</t>
  </si>
  <si>
    <t xml:space="preserve">Estimativa (não há preço público), solicitar cotação</t>
  </si>
  <si>
    <t xml:space="preserve">P32</t>
  </si>
  <si>
    <t xml:space="preserve">PCB própria montada por EMS, Módulo Q (MCU + display 0,56" + botão + 2× RJ45)</t>
  </si>
  <si>
    <t xml:space="preserve">Estimativa com base na tabela de montagem JLCPCB (jlcpcb.com/help/article/pcb-assembly-price) + componentes</t>
  </si>
  <si>
    <t xml:space="preserve">P33</t>
  </si>
  <si>
    <t xml:space="preserve">PCB própria montada por EMS, Módulo E+Q</t>
  </si>
  <si>
    <t xml:space="preserve">Estimativa (idem)</t>
  </si>
  <si>
    <t xml:space="preserve">P34</t>
  </si>
  <si>
    <t xml:space="preserve">PCB própria montada por EMS, Concentrador (MCU + Ethernet + 2× RS-485)</t>
  </si>
  <si>
    <t xml:space="preserve">P35</t>
  </si>
  <si>
    <t xml:space="preserve">Engenharia de projeto das PCBs (terceirizada, valor único)</t>
  </si>
  <si>
    <t xml:space="preserve">projeto</t>
  </si>
  <si>
    <t xml:space="preserve">Estimativa, solicitar orçamento a design house</t>
  </si>
  <si>
    <t xml:space="preserve">P36</t>
  </si>
  <si>
    <t xml:space="preserve">Leitor RFID UHF de pulso comercial (FEIG HyWEAR Compact), referência</t>
  </si>
  <si>
    <t xml:space="preserve">atlasRFIDstore, US$ 997, 22/10/2026 (UHF; não lê tags NFC)</t>
  </si>
  <si>
    <t xml:space="preserve">P38</t>
  </si>
  <si>
    <t xml:space="preserve">Cabo PP 3×1,0 mm² (por metro)</t>
  </si>
  <si>
    <t xml:space="preserve">KaBuM, Cabo PP 3×1,00 mm² flexível preto 100 m R$ 913,31 (Pix), 26/10/2026</t>
  </si>
  <si>
    <t xml:space="preserve">P39</t>
  </si>
  <si>
    <t xml:space="preserve">Plugue 2P+T 10 A + prensa-cabo</t>
  </si>
  <si>
    <t xml:space="preserve">P40</t>
  </si>
  <si>
    <t xml:space="preserve">DPS / protetor de surto 275 V para o concentrador</t>
  </si>
  <si>
    <t xml:space="preserve">P41</t>
  </si>
  <si>
    <t xml:space="preserve">Kit rede: alicate de crimpar + testador de cabo + 40 m Cat5e Nexans + 10 RJ45</t>
  </si>
  <si>
    <t xml:space="preserve">KaBuM, produto 386101, 26/10/2026 (Pix)</t>
  </si>
  <si>
    <t xml:space="preserve">P42</t>
  </si>
  <si>
    <t xml:space="preserve">Bancada de eletrônica: estação de solda + multímetro + consumíveis</t>
  </si>
  <si>
    <t xml:space="preserve">P43</t>
  </si>
  <si>
    <t xml:space="preserve">Nobreak 720 VA bivolt (Intelbras XNB) para o switch</t>
  </si>
  <si>
    <t xml:space="preserve">KaBuM via escorregaopreco.com.br, oferta atualizada ~28 dias antes de 26/10/2026</t>
  </si>
  <si>
    <t xml:space="preserve">P44</t>
  </si>
  <si>
    <t xml:space="preserve">Mini rack de parede 5U 19" + patch cords + organizador</t>
  </si>
  <si>
    <t xml:space="preserve">Estimativa (ex.: Intelbras MRM 537), cotar</t>
  </si>
  <si>
    <t xml:space="preserve">P45</t>
  </si>
  <si>
    <t xml:space="preserve">Carregador USB 2 portas para pulseiras (RFID futuro)</t>
  </si>
  <si>
    <t xml:space="preserve">P46</t>
  </si>
  <si>
    <t xml:space="preserve">Ponto de tomada 220 V novo (material + eletricista)</t>
  </si>
  <si>
    <t xml:space="preserve">Estimativa, cotar com a manutenção predial</t>
  </si>
  <si>
    <t xml:space="preserve">P48</t>
  </si>
  <si>
    <t xml:space="preserve">Painel de MDF 1,2 × 0,6 m com longarina para a bancada + parafusos</t>
  </si>
  <si>
    <t xml:space="preserve">P49</t>
  </si>
  <si>
    <t xml:space="preserve">Switch 5 portas (bancada)</t>
  </si>
  <si>
    <t xml:space="preserve">Estimativa, cotar (ou porta livre de switch existente)</t>
  </si>
  <si>
    <t xml:space="preserve">P47</t>
  </si>
  <si>
    <t xml:space="preserve">Sinal luminoso de baixo giro (sinaleiro LED âmbar 12 V 22 mm + haste + transistor no nó)</t>
  </si>
  <si>
    <t xml:space="preserve">Conjunto</t>
  </si>
  <si>
    <t xml:space="preserve">Qtd por unidade</t>
  </si>
  <si>
    <t xml:space="preserve">Preço unit. (R$)</t>
  </si>
  <si>
    <t xml:space="preserve">Subtotal (R$)</t>
  </si>
  <si>
    <t xml:space="preserve">Módulo Q</t>
  </si>
  <si>
    <t xml:space="preserve">Custo unitário, Módulo Q</t>
  </si>
  <si>
    <t xml:space="preserve">Nó de coluna</t>
  </si>
  <si>
    <t xml:space="preserve">Custo unitário, Nó de coluna</t>
  </si>
  <si>
    <t xml:space="preserve">Módulo E+Q</t>
  </si>
  <si>
    <t xml:space="preserve">Custo unitário, Módulo E+Q</t>
  </si>
  <si>
    <t xml:space="preserve">Concentrador 12 V</t>
  </si>
  <si>
    <t xml:space="preserve">Custo unitário, Concentrador 12 V</t>
  </si>
  <si>
    <t xml:space="preserve">Concentrador 5 V</t>
  </si>
  <si>
    <t xml:space="preserve">Custo unitário, Concentrador 5 V</t>
  </si>
  <si>
    <t xml:space="preserve">Pulseira RFID (futuro)</t>
  </si>
  <si>
    <t xml:space="preserve">Custo unitário, Pulseira RFID (futuro)</t>
  </si>
  <si>
    <t xml:space="preserve">Tag por caixa (RFID futuro)</t>
  </si>
  <si>
    <t xml:space="preserve">Custo unitário, Tag por caixa (RFID futuro)</t>
  </si>
  <si>
    <t xml:space="preserve">Variante 5 V: os módulos e nós não usam regulador step-down (P08); o custo é descontado na aba A-Interno.</t>
  </si>
  <si>
    <t xml:space="preserve">Concentrador: inclui alimentação até a tomada (3 m de cabo PP, plugue) e protetor de surto.</t>
  </si>
  <si>
    <t xml:space="preserve">Base de cálculo</t>
  </si>
  <si>
    <t xml:space="preserve">Qtd piloto</t>
  </si>
  <si>
    <t xml:space="preserve">Qtd completo</t>
  </si>
  <si>
    <t xml:space="preserve">Total piloto (R$)</t>
  </si>
  <si>
    <t xml:space="preserve">Total completo (R$)</t>
  </si>
  <si>
    <t xml:space="preserve">Arquitetura A, produção e montagem interna (12 V)</t>
  </si>
  <si>
    <t xml:space="preserve">Módulos Q (alto giro 0-3)</t>
  </si>
  <si>
    <t xml:space="preserve">endereços alto giro 0-3 × (1 + reserva)</t>
  </si>
  <si>
    <t xml:space="preserve">Nós de coluna (alto giro)</t>
  </si>
  <si>
    <t xml:space="preserve">prédios do alto giro × (1 + reserva)</t>
  </si>
  <si>
    <t xml:space="preserve">Módulos E+Q (A4/A5 + zonas baixo giro)</t>
  </si>
  <si>
    <t xml:space="preserve">displays E+Q × (1 + reserva)</t>
  </si>
  <si>
    <t xml:space="preserve">Concentradores 12 V</t>
  </si>
  <si>
    <t xml:space="preserve">1 por estação × (1 + reserva)</t>
  </si>
  <si>
    <t xml:space="preserve">Cabo de barramento Cat5e (m)</t>
  </si>
  <si>
    <t xml:space="preserve">segmentos × m por segmento + 2 saídas × m de saída por estação</t>
  </si>
  <si>
    <t xml:space="preserve">Plugs RJ45 do barramento</t>
  </si>
  <si>
    <t xml:space="preserve">2 por segmento + 4 por estação (saídas)</t>
  </si>
  <si>
    <t xml:space="preserve">Canaleta / perfil de fixação (m)</t>
  </si>
  <si>
    <t xml:space="preserve">prédios alto giro × (largura × linhas + descida) + 2 lados × corredor + travessia, por estação</t>
  </si>
  <si>
    <t xml:space="preserve">Fixações diversas</t>
  </si>
  <si>
    <t xml:space="preserve">1 kit por estação</t>
  </si>
  <si>
    <t xml:space="preserve">Sinal luminoso de baixo giro</t>
  </si>
  <si>
    <t xml:space="preserve">1 por estação, ao lado da posição de pega</t>
  </si>
  <si>
    <t xml:space="preserve">Cabo de rede até a estação (m)</t>
  </si>
  <si>
    <t xml:space="preserve">metros por estação</t>
  </si>
  <si>
    <t xml:space="preserve">Switch 24 portas</t>
  </si>
  <si>
    <t xml:space="preserve">estações ÷ portas por switch (arredondado para cima)</t>
  </si>
  <si>
    <t xml:space="preserve">Nobreak do switch</t>
  </si>
  <si>
    <t xml:space="preserve">1 por switch</t>
  </si>
  <si>
    <t xml:space="preserve">Mini rack de parede do switch</t>
  </si>
  <si>
    <t xml:space="preserve">Cabo de uplink até a rede corporativa (m)</t>
  </si>
  <si>
    <t xml:space="preserve">switches × m de uplink</t>
  </si>
  <si>
    <t xml:space="preserve">Pontos de tomada 220 V novos</t>
  </si>
  <si>
    <t xml:space="preserve">estações × % sem tomada próxima (arredondado para cima)</t>
  </si>
  <si>
    <t xml:space="preserve">Ferramentas de rede (crimpar e testar)</t>
  </si>
  <si>
    <t xml:space="preserve">1 kit (compra única)</t>
  </si>
  <si>
    <t xml:space="preserve">Bancada de eletrônica (solda, multímetro)</t>
  </si>
  <si>
    <t xml:space="preserve">Frete das compras</t>
  </si>
  <si>
    <t xml:space="preserve">% sobre peças e infraestrutura acima</t>
  </si>
  <si>
    <t xml:space="preserve">SUBTOTAL MATERIAIS, Arquitetura A (12 V)</t>
  </si>
  <si>
    <t xml:space="preserve">Mão de obra interna e treinamento</t>
  </si>
  <si>
    <t xml:space="preserve">Montagem Módulos Q (h)</t>
  </si>
  <si>
    <t xml:space="preserve">módulos × h/un</t>
  </si>
  <si>
    <t xml:space="preserve">Montagem Nós de coluna (h)</t>
  </si>
  <si>
    <t xml:space="preserve">nós × h/un</t>
  </si>
  <si>
    <t xml:space="preserve">Montagem Módulos E+Q (h)</t>
  </si>
  <si>
    <t xml:space="preserve">Montagem Concentradores (h)</t>
  </si>
  <si>
    <t xml:space="preserve">concentradores × h/un</t>
  </si>
  <si>
    <t xml:space="preserve">Instalação nas estações (h)</t>
  </si>
  <si>
    <t xml:space="preserve">(fixo por estação + Q + nós + E+Q + canaleta) × fator hora extra</t>
  </si>
  <si>
    <t xml:space="preserve">Testes e comissionamento (h)</t>
  </si>
  <si>
    <t xml:space="preserve">estações × h/estação × fator hora extra</t>
  </si>
  <si>
    <t xml:space="preserve">Treinamento dos operadores (h)</t>
  </si>
  <si>
    <t xml:space="preserve">estações × turnos × h por operador</t>
  </si>
  <si>
    <t xml:space="preserve">Treinamento da manutenção (h)</t>
  </si>
  <si>
    <t xml:space="preserve">total da equipe</t>
  </si>
  <si>
    <t xml:space="preserve">SUBTOTAL MÃO DE OBRA E TREINAMENTO</t>
  </si>
  <si>
    <t xml:space="preserve">TOTAL, Arquitetura A interna (materiais + mão de obra)</t>
  </si>
  <si>
    <t xml:space="preserve">Variante 5 V (materiais)</t>
  </si>
  <si>
    <t xml:space="preserve">(−) Reguladores step-down dispensados</t>
  </si>
  <si>
    <t xml:space="preserve">nós + módulos E+Q + concentradores</t>
  </si>
  <si>
    <t xml:space="preserve">(±) Fonte 5 V no lugar da 12 V</t>
  </si>
  <si>
    <t xml:space="preserve">concentradores</t>
  </si>
  <si>
    <t xml:space="preserve">(+) Cabo de força extra para injeção de 5 V (m)</t>
  </si>
  <si>
    <t xml:space="preserve">SUBTOTAL MATERIAIS, variante 5 V</t>
  </si>
  <si>
    <t xml:space="preserve">T1, Placas próprias fabricadas e montadas por EMS (cada módulo com seu microcontrolador)</t>
  </si>
  <si>
    <t xml:space="preserve">Módulo Q, PCB montada + carcaça</t>
  </si>
  <si>
    <t xml:space="preserve">Módulo E+Q, PCB montada + carcaça + botão</t>
  </si>
  <si>
    <t xml:space="preserve">Concentrador, PCB montada + fonte + gabinete + alimentação</t>
  </si>
  <si>
    <t xml:space="preserve">estações × (1 + reserva)</t>
  </si>
  <si>
    <t xml:space="preserve">Cabo do barramento em cadeia (m)</t>
  </si>
  <si>
    <t xml:space="preserve">Q × m em cadeia + E+Q × m por segmento + saídas</t>
  </si>
  <si>
    <t xml:space="preserve">2 por módulo + 4 por estação</t>
  </si>
  <si>
    <t xml:space="preserve">Infraestrutura (canaleta, rede, switches, energia, ferramentas)</t>
  </si>
  <si>
    <t xml:space="preserve">igual à Arquitetura A</t>
  </si>
  <si>
    <t xml:space="preserve">Engenharia de projeto das PCBs (valor único)</t>
  </si>
  <si>
    <t xml:space="preserve">1 projeto</t>
  </si>
  <si>
    <t xml:space="preserve">Montagem final + gravação + teste (h)</t>
  </si>
  <si>
    <t xml:space="preserve">módulos e concentradores recebidos × h/un</t>
  </si>
  <si>
    <t xml:space="preserve">Instalação + comissionamento (h)</t>
  </si>
  <si>
    <t xml:space="preserve">como na Arquitetura A, sem nós de coluna</t>
  </si>
  <si>
    <t xml:space="preserve">Treinamento (operadores e manutenção)</t>
  </si>
  <si>
    <t xml:space="preserve">TOTAL T1, PCB própria (EMS)</t>
  </si>
  <si>
    <t xml:space="preserve">T2, Sistema PTL comercial importado (hardware pronto; software de integração continua interno)</t>
  </si>
  <si>
    <t xml:space="preserve">Módulos PTL 3 dígitos (alto giro 0-3)</t>
  </si>
  <si>
    <t xml:space="preserve">endereços × (1 + reserva)</t>
  </si>
  <si>
    <t xml:space="preserve">Módulos PTL endereço + quantidade</t>
  </si>
  <si>
    <t xml:space="preserve">Controlador/gateway PTL por estação</t>
  </si>
  <si>
    <t xml:space="preserve">Fonte 12 V + gabinete + alimentação por estação</t>
  </si>
  <si>
    <t xml:space="preserve">TOTAL T2, PTL comercial importado</t>
  </si>
  <si>
    <t xml:space="preserve">Valores em US$ convertidos por câmbio × fator de importação (aba Premissas). Itens de PTL comercial sem preço público devem ser cotados com fornecedores (ex.: ATOP, Aioi, fornecedores nacionais). Frete nacional não aplicado aqui: os itens principais são importados (frete no fator de importação).</t>
  </si>
  <si>
    <t xml:space="preserve">Melhoria futura (não entra na POC nem na implantação inicial): tag NFC na caixa + pulseira no operador</t>
  </si>
  <si>
    <t xml:space="preserve">Tags NFC nas caixas retornáveis (frota)</t>
  </si>
  <si>
    <t xml:space="preserve">frota de caixas (piloto: proporcional às estações)</t>
  </si>
  <si>
    <t xml:space="preserve">Associação tag ↔ caixa (cadastro inicial) (h)</t>
  </si>
  <si>
    <t xml:space="preserve">30 s por caixa</t>
  </si>
  <si>
    <t xml:space="preserve">Pulseiras NFC (ESP32-C3 + PN532 + bateria)</t>
  </si>
  <si>
    <t xml:space="preserve">estações × pulseiras por estação</t>
  </si>
  <si>
    <t xml:space="preserve">Carregador USB das pulseiras</t>
  </si>
  <si>
    <t xml:space="preserve">1 por estação</t>
  </si>
  <si>
    <t xml:space="preserve">Montagem das pulseiras (h)</t>
  </si>
  <si>
    <t xml:space="preserve">1,5 h por pulseira</t>
  </si>
  <si>
    <t xml:space="preserve">ACRÉSCIMO DO RFID sobre a Arquitetura A</t>
  </si>
  <si>
    <t xml:space="preserve">Referência: Arquitetura A + RFID</t>
  </si>
  <si>
    <t xml:space="preserve">aba A-Interno + acréscimo acima</t>
  </si>
  <si>
    <t xml:space="preserve">Referência de mercado, leitor de pulso comercial</t>
  </si>
  <si>
    <t xml:space="preserve">FEIG HyWEAR (UHF) por pulseira, não lê NFC; exigiria tags UHF</t>
  </si>
  <si>
    <t xml:space="preserve">O hardware e o software da Arquitetura A já ficam preparados para receber a leitura RFID depois. O leitor fixo na estação (antiga opção B2) foi retirado do projeto em 26/10/2026.</t>
  </si>
  <si>
    <t xml:space="preserve">Componente</t>
  </si>
  <si>
    <t xml:space="preserve">Arquitetura</t>
  </si>
  <si>
    <t xml:space="preserve">Horas estimadas</t>
  </si>
  <si>
    <t xml:space="preserve">Custo (R$)</t>
  </si>
  <si>
    <t xml:space="preserve">Observação</t>
  </si>
  <si>
    <t xml:space="preserve">Serviço PTL (API REST + MQTT + regras de separação)</t>
  </si>
  <si>
    <t xml:space="preserve">A e B</t>
  </si>
  <si>
    <t xml:space="preserve">Núcleo: abre/fecha caixa, divide por estação/zona, ordena pela rota</t>
  </si>
  <si>
    <t xml:space="preserve">Integração Sybase ASE (tabelas PTL, views, procedures)</t>
  </si>
  <si>
    <t xml:space="preserve">Leitura de itens da caixa e gravação de eventos/log</t>
  </si>
  <si>
    <t xml:space="preserve">Integração API do sistema BHT (informações da caixa)</t>
  </si>
  <si>
    <t xml:space="preserve">Consulta da caixa e, se possível, liberação para a próxima estação</t>
  </si>
  <si>
    <t xml:space="preserve">App coletor Android (A1, app próprio)</t>
  </si>
  <si>
    <t xml:space="preserve">A</t>
  </si>
  <si>
    <t xml:space="preserve">Leitura com gatilho para abrir/fechar, progresso da caixa</t>
  </si>
  <si>
    <t xml:space="preserve">Tela no WMS PowerBuilder para o coletor (A2)</t>
  </si>
  <si>
    <t xml:space="preserve">A2</t>
  </si>
  <si>
    <t xml:space="preserve">Alternativa ao app; grava a leitura em tabela consumida pelo serviço</t>
  </si>
  <si>
    <t xml:space="preserve">Firmware do concentrador (Ethernet + MQTT + 2 barramentos RS-485)</t>
  </si>
  <si>
    <t xml:space="preserve">Base no protótipo MicroPython já validado</t>
  </si>
  <si>
    <t xml:space="preserve">Firmware dos nós de coluna e módulos E+Q</t>
  </si>
  <si>
    <t xml:space="preserve">Protocolo de barramento, endereçamento, auto-teste</t>
  </si>
  <si>
    <t xml:space="preserve">Leitura RFID pela pulseira (melhoria futura)</t>
  </si>
  <si>
    <t xml:space="preserve">RFID</t>
  </si>
  <si>
    <t xml:space="preserve">Fora do escopo inicial</t>
  </si>
  <si>
    <t xml:space="preserve">Painel de monitoramento (gestão e TI)</t>
  </si>
  <si>
    <t xml:space="preserve">Status das estações, módulos com falha, produtividade</t>
  </si>
  <si>
    <t xml:space="preserve">Interface de controle: qual LED falhou + cadastro de LED por endereço (tela + botão)</t>
  </si>
  <si>
    <t xml:space="preserve">Diagnóstico no firmware (sem resposta, display sem ACK, botão travado), modo cadastro e tabela ptl_mapa_led</t>
  </si>
  <si>
    <t xml:space="preserve">Implantação do servidor (VM, broker MQTT, backup, monitoração)</t>
  </si>
  <si>
    <t xml:space="preserve">Considera VM em infraestrutura já existente; sem compra de servidor</t>
  </si>
  <si>
    <t xml:space="preserve">Testes integrados, piloto e homologação</t>
  </si>
  <si>
    <t xml:space="preserve">Inclui ajustes na POC (estações 04 e 27)</t>
  </si>
  <si>
    <t xml:space="preserve">Documentação e treinamento</t>
  </si>
  <si>
    <t xml:space="preserve">Operação, manutenção e suporte</t>
  </si>
  <si>
    <t xml:space="preserve">TOTAL, Arquitetura A com app próprio (A1)</t>
  </si>
  <si>
    <t xml:space="preserve">Com a tela no WMS (A2) no lugar do app: troque o item A1 (160 h) pelo A2 (80 h).</t>
  </si>
  <si>
    <t xml:space="preserve">Melhoria futura: acréscimo do RFID</t>
  </si>
  <si>
    <t xml:space="preserve">Custo-hora de desenvolvimento calculado na aba Premissas (salário de mercado × encargos ÷ horas). É custo interno da equipe, não desembolso extra, a menos que o desenvolvimento seja contratado.</t>
  </si>
  <si>
    <t xml:space="preserve">POC: bancada + estações 04 e 27 (Arquitetura A, coletor)</t>
  </si>
  <si>
    <t xml:space="preserve">Fase 1 valida o hardware e o software na bancada; fase 2 instala nas estações 04 (Medicamento) e 27 (Perfumaria). As estações da POC são as marcadas 'S' na aba Estações.</t>
  </si>
  <si>
    <t xml:space="preserve">Qtd</t>
  </si>
  <si>
    <t xml:space="preserve">Total (R$)</t>
  </si>
  <si>
    <t xml:space="preserve">Fase 1, bancada (1 coluna de alto giro, 1 zona de cada tipo)</t>
  </si>
  <si>
    <t xml:space="preserve">Concentrador 12 V completo</t>
  </si>
  <si>
    <t xml:space="preserve">gabinete, fonte, placa, alimentação</t>
  </si>
  <si>
    <t xml:space="preserve">1 prédio de alto giro</t>
  </si>
  <si>
    <t xml:space="preserve">Módulos Q</t>
  </si>
  <si>
    <t xml:space="preserve">4 andares (0 a 3) do prédio</t>
  </si>
  <si>
    <t xml:space="preserve">1 zona dos andares 4-5 + 1 zona do baixo giro</t>
  </si>
  <si>
    <t xml:space="preserve">barra âmbar</t>
  </si>
  <si>
    <t xml:space="preserve">Cabo Cat5e (m)</t>
  </si>
  <si>
    <t xml:space="preserve">barramento e ligações da bancada</t>
  </si>
  <si>
    <t xml:space="preserve">Plugs RJ45</t>
  </si>
  <si>
    <t xml:space="preserve">Painel de MDF com longarina</t>
  </si>
  <si>
    <t xml:space="preserve">simula a prateleira</t>
  </si>
  <si>
    <t xml:space="preserve">Switch 5 portas</t>
  </si>
  <si>
    <t xml:space="preserve">rede da bancada</t>
  </si>
  <si>
    <t xml:space="preserve">compra única, servem para a fase 2</t>
  </si>
  <si>
    <t xml:space="preserve">compra única, serve para a fase 2</t>
  </si>
  <si>
    <t xml:space="preserve">% sobre os itens acima</t>
  </si>
  <si>
    <t xml:space="preserve">Montagem dos módulos (h)</t>
  </si>
  <si>
    <t xml:space="preserve">conc. + nó + 4 Q + 2 E+Q</t>
  </si>
  <si>
    <t xml:space="preserve">Testes de bancada (h)</t>
  </si>
  <si>
    <t xml:space="preserve">acender, confirmar, falha, troca e cadastro de LED, 48 h de operação contínua</t>
  </si>
  <si>
    <t xml:space="preserve">TOTAL FASE 1, bancada</t>
  </si>
  <si>
    <t xml:space="preserve">Fase 2, instalação nas estações 04 e 27</t>
  </si>
  <si>
    <t xml:space="preserve">Materiais, montagem, instalação e treinamento das 2 estações</t>
  </si>
  <si>
    <t xml:space="preserve">aba A-Interno, coluna piloto (estações com 'S')</t>
  </si>
  <si>
    <t xml:space="preserve">(−) Ferramentas já compradas na fase 1</t>
  </si>
  <si>
    <t xml:space="preserve">kit de rede + bancada de eletrônica</t>
  </si>
  <si>
    <t xml:space="preserve">(−) Módulos da bancada reaproveitados na estação</t>
  </si>
  <si>
    <t xml:space="preserve">o concentrador, o nó, os 4 Q e os 2 E+Q da bancada vão para a estação 04</t>
  </si>
  <si>
    <t xml:space="preserve">TOTAL FASE 2, estações 04 e 27</t>
  </si>
  <si>
    <t xml:space="preserve">HARDWARE DA POC (fase 1 + fase 2)</t>
  </si>
  <si>
    <t xml:space="preserve">Contingência</t>
  </si>
  <si>
    <t xml:space="preserve">% sobre o hardware da POC</t>
  </si>
  <si>
    <t xml:space="preserve">HARDWARE DA POC COM CONTINGÊNCIA (desembolso)</t>
  </si>
  <si>
    <t xml:space="preserve">Software para a POC (equipe interna, versão mínima)</t>
  </si>
  <si>
    <t xml:space="preserve">Firmware do concentrador, dos nós e dos E+Q</t>
  </si>
  <si>
    <t xml:space="preserve">barramento, endereçamento, diagnóstico, cadastro</t>
  </si>
  <si>
    <t xml:space="preserve">Serviço PTL, versão mínima</t>
  </si>
  <si>
    <t xml:space="preserve">abrir e fechar caixa, acender, confirmar, sinal de baixo giro</t>
  </si>
  <si>
    <t xml:space="preserve">Integração Sybase (leitura dos itens da caixa)</t>
  </si>
  <si>
    <t xml:space="preserve">views de leitura e gravação de eventos</t>
  </si>
  <si>
    <t xml:space="preserve">App do coletor (A1), versão mínima</t>
  </si>
  <si>
    <t xml:space="preserve">leitura com gatilho e progresso da caixa</t>
  </si>
  <si>
    <t xml:space="preserve">Interface de controle, versão mínima</t>
  </si>
  <si>
    <t xml:space="preserve">falhas de LED e cadastro por endereço</t>
  </si>
  <si>
    <t xml:space="preserve">Testes da bancada e operação assistida</t>
  </si>
  <si>
    <t xml:space="preserve">ajustes durante a POC</t>
  </si>
  <si>
    <t xml:space="preserve">SOFTWARE DA POC (horas e custo interno)</t>
  </si>
  <si>
    <t xml:space="preserve">Prazo estimado: bancada 3 a 4 semanas; instalação nas 2 estações 1 semana; operação assistida 4 semanas.</t>
  </si>
  <si>
    <t xml:space="preserve">O software da POC é a primeira parte do software do projeto (aba Software), não um custo a mais.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</si>
</sst>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$ &quot;#,##0;&quot;(R$ &quot;#,##0\);\-"/>
    <numFmt numFmtId="166" formatCode="#,##0.00;\(#,##0.00\);\-"/>
    <numFmt numFmtId="167" formatCode="#,##0;\(#,##0\);\-"/>
    <numFmt numFmtId="168" formatCode="0.0%"/>
    <numFmt numFmtId="169" formatCode="&quot;R$ &quot;#,##0.00;&quot;(R$ &quot;#,##0.00\);\-"/>
    <numFmt numFmtId="170" formatCode="&quot;US$ &quot;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5"/>
  </cols>
  <sheetData>
    <row r="2" customFormat="false" ht="17.35" hidden="false" customHeight="false" outlineLevel="0" collapsed="false">
      <c r="B2" s="1" t="s">
        <v>0</v>
      </c>
    </row>
    <row r="3" customFormat="false" ht="26.8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2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23.8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3"/>
    </row>
    <row r="13" customFormat="false" ht="15" hidden="false" customHeight="false" outlineLevel="0" collapsed="false">
      <c r="B13" s="2" t="s">
        <v>9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 t="s">
        <v>13</v>
      </c>
    </row>
    <row r="18" customFormat="false" ht="15" hidden="false" customHeight="false" outlineLevel="0" collapsed="false">
      <c r="B18" s="4" t="s">
        <v>14</v>
      </c>
    </row>
    <row r="19" customFormat="false" ht="15" hidden="false" customHeight="false" outlineLevel="0" collapsed="false">
      <c r="B19" s="4" t="s">
        <v>15</v>
      </c>
    </row>
    <row r="20" customFormat="false" ht="15" hidden="false" customHeight="false" outlineLevel="0" collapsed="false">
      <c r="B20" s="4" t="s">
        <v>16</v>
      </c>
    </row>
    <row r="21" customFormat="false" ht="15" hidden="false" customHeight="false" outlineLevel="0" collapsed="false">
      <c r="B21" s="4" t="s">
        <v>17</v>
      </c>
    </row>
    <row r="22" customFormat="false" ht="15" hidden="false" customHeight="false" outlineLevel="0" collapsed="false">
      <c r="B22" s="4" t="s">
        <v>18</v>
      </c>
    </row>
    <row r="23" customFormat="false" ht="15" hidden="false" customHeight="false" outlineLevel="0" collapsed="false">
      <c r="B23" s="3"/>
    </row>
    <row r="24" customFormat="false" ht="15" hidden="false" customHeight="false" outlineLevel="0" collapsed="false">
      <c r="B24" s="2" t="s">
        <v>19</v>
      </c>
    </row>
    <row r="25" customFormat="false" ht="15" hidden="false" customHeight="false" outlineLevel="0" collapsed="false">
      <c r="B25" s="4" t="s">
        <v>20</v>
      </c>
    </row>
    <row r="26" customFormat="false" ht="35.05" hidden="false" customHeight="false" outlineLevel="0" collapsed="false">
      <c r="B26" s="4" t="s">
        <v>21</v>
      </c>
    </row>
    <row r="27" customFormat="false" ht="23.85" hidden="false" customHeight="false" outlineLevel="0" collapsed="false">
      <c r="B27" s="4" t="s">
        <v>22</v>
      </c>
    </row>
    <row r="28" customFormat="false" ht="15" hidden="false" customHeight="false" outlineLevel="0" collapsed="false">
      <c r="B28" s="4" t="s">
        <v>23</v>
      </c>
    </row>
    <row r="29" customFormat="false" ht="23.85" hidden="false" customHeight="false" outlineLevel="0" collapsed="false">
      <c r="B29" s="4" t="s">
        <v>24</v>
      </c>
    </row>
    <row r="30" customFormat="false" ht="15" hidden="false" customHeight="false" outlineLevel="0" collapsed="false">
      <c r="B30" s="4" t="s">
        <v>25</v>
      </c>
    </row>
    <row r="31" customFormat="false" ht="15" hidden="false" customHeight="false" outlineLevel="0" collapsed="false">
      <c r="B31" s="3"/>
    </row>
    <row r="32" customFormat="false" ht="15" hidden="false" customHeight="false" outlineLevel="0" collapsed="false">
      <c r="B32" s="2" t="s">
        <v>26</v>
      </c>
    </row>
    <row r="33" customFormat="false" ht="23.85" hidden="false" customHeight="false" outlineLevel="0" collapsed="false">
      <c r="B33" s="4" t="s">
        <v>27</v>
      </c>
    </row>
    <row r="34" customFormat="false" ht="15" hidden="false" customHeight="false" outlineLevel="0" collapsed="false">
      <c r="B34" s="4" t="s">
        <v>28</v>
      </c>
    </row>
    <row r="35" customFormat="false" ht="15" hidden="false" customHeight="false" outlineLevel="0" collapsed="false">
      <c r="B35" s="4" t="s">
        <v>29</v>
      </c>
    </row>
    <row r="36" customFormat="false" ht="23.85" hidden="false" customHeight="false" outlineLevel="0" collapsed="false">
      <c r="B36" s="4" t="s">
        <v>30</v>
      </c>
    </row>
    <row r="37" customFormat="false" ht="15" hidden="false" customHeight="false" outlineLevel="0" collapsed="false">
      <c r="B37" s="4" t="s">
        <v>31</v>
      </c>
    </row>
    <row r="38" customFormat="false" ht="15" hidden="false" customHeight="false" outlineLevel="0" collapsed="false">
      <c r="B38" s="4" t="s">
        <v>32</v>
      </c>
    </row>
    <row r="39" customFormat="false" ht="15" hidden="false" customHeight="false" outlineLevel="0" collapsed="false">
      <c r="B39" s="4" t="s">
        <v>33</v>
      </c>
    </row>
    <row r="40" customFormat="false" ht="15" hidden="false" customHeight="false" outlineLevel="0" collapsed="false">
      <c r="B40" s="4" t="s">
        <v>34</v>
      </c>
    </row>
    <row r="41" customFormat="false" ht="15" hidden="false" customHeight="false" outlineLevel="0" collapsed="false">
      <c r="B41" s="4" t="s">
        <v>35</v>
      </c>
    </row>
    <row r="42" customFormat="false" ht="15" hidden="false" customHeight="false" outlineLevel="0" collapsed="false">
      <c r="B42" s="4" t="s">
        <v>36</v>
      </c>
    </row>
    <row r="43" customFormat="false" ht="23.85" hidden="false" customHeight="false" outlineLevel="0" collapsed="false">
      <c r="B43" s="4" t="s">
        <v>37</v>
      </c>
    </row>
    <row r="44" customFormat="false" ht="15" hidden="false" customHeight="false" outlineLevel="0" collapsed="false">
      <c r="B44" s="4" t="s">
        <v>38</v>
      </c>
    </row>
    <row r="45" customFormat="false" ht="23.85" hidden="false" customHeight="false" outlineLevel="0" collapsed="false">
      <c r="B45" s="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62"/>
    <col collapsed="false" customWidth="true" hidden="false" outlineLevel="0" max="3" min="3" style="0" width="17"/>
    <col collapsed="false" customWidth="true" hidden="false" outlineLevel="0" max="5" min="4" style="0" width="21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5" t="s">
        <v>40</v>
      </c>
    </row>
    <row r="2" customFormat="false" ht="15" hidden="false" customHeight="false" outlineLevel="0" collapsed="false">
      <c r="A2" s="6" t="s">
        <v>41</v>
      </c>
    </row>
    <row r="3" customFormat="false" ht="31.5" hidden="false" customHeight="true" outlineLevel="0" collapsed="false">
      <c r="A3" s="7" t="s">
        <v>42</v>
      </c>
      <c r="B3" s="7" t="s">
        <v>43</v>
      </c>
      <c r="C3" s="7" t="s">
        <v>44</v>
      </c>
      <c r="D3" s="7" t="s">
        <v>45</v>
      </c>
      <c r="E3" s="7" t="s">
        <v>46</v>
      </c>
      <c r="F3" s="7" t="s">
        <v>47</v>
      </c>
    </row>
    <row r="4" customFormat="false" ht="15" hidden="false" customHeight="false" outlineLevel="0" collapsed="false">
      <c r="A4" s="8" t="s">
        <v>48</v>
      </c>
      <c r="B4" s="9" t="s">
        <v>49</v>
      </c>
      <c r="C4" s="10" t="n">
        <f aca="false">'A-Interno'!F21</f>
        <v>14510.6409649795</v>
      </c>
      <c r="D4" s="10" t="n">
        <f aca="false">'A-Interno'!G21</f>
        <v>222482.887797295</v>
      </c>
      <c r="E4" s="11" t="n">
        <f aca="false">D4/Estações!$O$43</f>
        <v>5562.07219493238</v>
      </c>
      <c r="F4" s="11" t="n">
        <f aca="false">D4*(1+Premissas!$B$28)</f>
        <v>244731.176577025</v>
      </c>
    </row>
    <row r="5" customFormat="false" ht="15" hidden="false" customHeight="false" outlineLevel="0" collapsed="false">
      <c r="A5" s="8" t="s">
        <v>50</v>
      </c>
      <c r="B5" s="9" t="s">
        <v>51</v>
      </c>
      <c r="C5" s="10" t="n">
        <f aca="false">'A-Interno'!F40</f>
        <v>14731.6869649795</v>
      </c>
      <c r="D5" s="10" t="n">
        <f aca="false">'A-Interno'!G40</f>
        <v>227135.487797295</v>
      </c>
      <c r="E5" s="11" t="n">
        <f aca="false">D5/Estações!$O$43</f>
        <v>5678.38719493238</v>
      </c>
      <c r="F5" s="11" t="n">
        <f aca="false">D5*(1+Premissas!$B$28)</f>
        <v>249849.036577025</v>
      </c>
    </row>
    <row r="6" customFormat="false" ht="15" hidden="false" customHeight="false" outlineLevel="0" collapsed="false">
      <c r="A6" s="8" t="s">
        <v>52</v>
      </c>
      <c r="B6" s="9" t="s">
        <v>53</v>
      </c>
      <c r="C6" s="10" t="n">
        <f aca="false">'A-Interno'!F34</f>
        <v>19211.4974214212</v>
      </c>
      <c r="D6" s="10" t="n">
        <f aca="false">'A-Interno'!G34</f>
        <v>304755.492030424</v>
      </c>
      <c r="E6" s="11" t="n">
        <f aca="false">D6/Estações!$O$43</f>
        <v>7618.8873007606</v>
      </c>
      <c r="F6" s="11" t="n">
        <f aca="false">D6*(1+Premissas!$B$28)</f>
        <v>335231.041233466</v>
      </c>
    </row>
    <row r="7" customFormat="false" ht="15" hidden="false" customHeight="false" outlineLevel="0" collapsed="false">
      <c r="A7" s="8" t="s">
        <v>54</v>
      </c>
      <c r="B7" s="9" t="s">
        <v>55</v>
      </c>
      <c r="C7" s="10" t="n">
        <f aca="false">'A-Terceiros'!F13</f>
        <v>34967.3662477864</v>
      </c>
      <c r="D7" s="10" t="n">
        <f aca="false">'A-Terceiros'!G13</f>
        <v>335486.888460125</v>
      </c>
      <c r="E7" s="11" t="n">
        <f aca="false">D7/Estações!$O$43</f>
        <v>8387.17221150312</v>
      </c>
      <c r="F7" s="11" t="n">
        <f aca="false">D7*(1+Premissas!$B$28)</f>
        <v>369035.577306137</v>
      </c>
    </row>
    <row r="8" customFormat="false" ht="15" hidden="false" customHeight="false" outlineLevel="0" collapsed="false">
      <c r="A8" s="8" t="s">
        <v>56</v>
      </c>
      <c r="B8" s="9" t="s">
        <v>57</v>
      </c>
      <c r="C8" s="10" t="n">
        <f aca="false">'A-Terceiros'!F25</f>
        <v>41680.7478088907</v>
      </c>
      <c r="D8" s="10" t="n">
        <f aca="false">'A-Terceiros'!G25</f>
        <v>763124.990903867</v>
      </c>
      <c r="E8" s="11" t="n">
        <f aca="false">D8/Estações!$O$43</f>
        <v>19078.1247725967</v>
      </c>
      <c r="F8" s="11" t="n">
        <f aca="false">D8*(1+Premissas!$B$28)</f>
        <v>839437.489994254</v>
      </c>
    </row>
    <row r="9" customFormat="false" ht="23.85" hidden="false" customHeight="false" outlineLevel="0" collapsed="false">
      <c r="A9" s="8" t="s">
        <v>58</v>
      </c>
      <c r="B9" s="9" t="s">
        <v>59</v>
      </c>
      <c r="C9" s="10" t="n">
        <f aca="false">'RFID-futuro'!F8</f>
        <v>1759.95112474438</v>
      </c>
      <c r="D9" s="10" t="n">
        <f aca="false">'RFID-futuro'!G8</f>
        <v>33039.7925562372</v>
      </c>
      <c r="E9" s="11" t="n">
        <f aca="false">D9/Estações!$O$43</f>
        <v>825.99481390593</v>
      </c>
      <c r="F9" s="11" t="n">
        <f aca="false">D9*(1+Premissas!$B$28)</f>
        <v>36343.7718118609</v>
      </c>
    </row>
    <row r="11" customFormat="false" ht="15" hidden="false" customHeight="false" outlineLevel="0" collapsed="false">
      <c r="A11" s="12" t="s">
        <v>60</v>
      </c>
    </row>
    <row r="12" customFormat="false" ht="15" hidden="false" customHeight="false" outlineLevel="0" collapsed="false">
      <c r="A12" s="8" t="s">
        <v>61</v>
      </c>
      <c r="B12" s="13" t="str">
        <f aca="false">"Horas: "&amp;TEXT(Software!C15,"#,##0")</f>
        <v>Horas: 1,144</v>
      </c>
      <c r="D12" s="10" t="n">
        <f aca="false">Software!D15</f>
        <v>118727.548466258</v>
      </c>
    </row>
    <row r="13" customFormat="false" ht="15" hidden="false" customHeight="false" outlineLevel="0" collapsed="false">
      <c r="A13" s="8" t="s">
        <v>62</v>
      </c>
      <c r="B13" s="13" t="str">
        <f aca="false">"Horas: "&amp;TEXT(Software!C16,"#,##0")</f>
        <v>Horas: 80</v>
      </c>
      <c r="D13" s="10" t="n">
        <f aca="false">Software!D16</f>
        <v>8302.62576687117</v>
      </c>
    </row>
    <row r="15" customFormat="false" ht="15" hidden="false" customHeight="false" outlineLevel="0" collapsed="false">
      <c r="A15" s="14" t="s">
        <v>63</v>
      </c>
      <c r="B15" s="15" t="s">
        <v>64</v>
      </c>
      <c r="C15" s="16"/>
      <c r="D15" s="16"/>
      <c r="E15" s="16"/>
      <c r="F15" s="17" t="n">
        <f aca="false">F6+D12</f>
        <v>453958.589699724</v>
      </c>
    </row>
    <row r="17" customFormat="false" ht="15" hidden="false" customHeight="false" outlineLevel="0" collapsed="false">
      <c r="A17" s="14" t="s">
        <v>65</v>
      </c>
      <c r="B17" s="15" t="s">
        <v>66</v>
      </c>
      <c r="C17" s="17" t="n">
        <f aca="false">POC!E29</f>
        <v>22469.4675639463</v>
      </c>
      <c r="D17" s="16"/>
      <c r="E17" s="16"/>
      <c r="F17" s="16"/>
    </row>
    <row r="19" customFormat="false" ht="15" hidden="false" customHeight="false" outlineLevel="0" collapsed="false">
      <c r="A19" s="6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95"/>
  </cols>
  <sheetData>
    <row r="1" customFormat="false" ht="31.5" hidden="false" customHeight="true" outlineLevel="0" collapsed="false">
      <c r="A1" s="7" t="s">
        <v>68</v>
      </c>
      <c r="B1" s="7" t="s">
        <v>69</v>
      </c>
      <c r="C1" s="7" t="s">
        <v>70</v>
      </c>
      <c r="D1" s="7" t="s">
        <v>71</v>
      </c>
    </row>
    <row r="2" customFormat="false" ht="15" hidden="false" customHeight="false" outlineLevel="0" collapsed="false">
      <c r="A2" s="13" t="s">
        <v>72</v>
      </c>
      <c r="B2" s="18" t="n">
        <v>5.0371</v>
      </c>
      <c r="C2" s="13" t="s">
        <v>73</v>
      </c>
      <c r="D2" s="9" t="s">
        <v>74</v>
      </c>
    </row>
    <row r="3" customFormat="false" ht="23.85" hidden="false" customHeight="false" outlineLevel="0" collapsed="false">
      <c r="A3" s="13" t="s">
        <v>75</v>
      </c>
      <c r="B3" s="19" t="n">
        <v>1.9</v>
      </c>
      <c r="C3" s="13" t="s">
        <v>76</v>
      </c>
      <c r="D3" s="9" t="s">
        <v>77</v>
      </c>
    </row>
    <row r="4" customFormat="false" ht="15" hidden="false" customHeight="false" outlineLevel="0" collapsed="false">
      <c r="A4" s="13" t="s">
        <v>78</v>
      </c>
      <c r="B4" s="18" t="n">
        <v>2846.84</v>
      </c>
      <c r="C4" s="13" t="s">
        <v>79</v>
      </c>
      <c r="D4" s="9" t="s">
        <v>80</v>
      </c>
    </row>
    <row r="5" customFormat="false" ht="15" hidden="false" customHeight="false" outlineLevel="0" collapsed="false">
      <c r="A5" s="13" t="s">
        <v>81</v>
      </c>
      <c r="B5" s="18" t="n">
        <v>8458.3</v>
      </c>
      <c r="C5" s="13" t="s">
        <v>79</v>
      </c>
      <c r="D5" s="9" t="s">
        <v>82</v>
      </c>
    </row>
    <row r="6" customFormat="false" ht="15" hidden="false" customHeight="false" outlineLevel="0" collapsed="false">
      <c r="A6" s="13" t="s">
        <v>83</v>
      </c>
      <c r="B6" s="18" t="n">
        <v>2009.59</v>
      </c>
      <c r="C6" s="13" t="s">
        <v>79</v>
      </c>
      <c r="D6" s="9" t="s">
        <v>84</v>
      </c>
    </row>
    <row r="7" customFormat="false" ht="15" hidden="false" customHeight="false" outlineLevel="0" collapsed="false">
      <c r="A7" s="13" t="s">
        <v>85</v>
      </c>
      <c r="B7" s="19" t="n">
        <v>2</v>
      </c>
      <c r="C7" s="13" t="s">
        <v>76</v>
      </c>
      <c r="D7" s="9" t="s">
        <v>86</v>
      </c>
    </row>
    <row r="8" customFormat="false" ht="15" hidden="false" customHeight="false" outlineLevel="0" collapsed="false">
      <c r="A8" s="13" t="s">
        <v>87</v>
      </c>
      <c r="B8" s="20" t="n">
        <v>163</v>
      </c>
      <c r="C8" s="13" t="s">
        <v>88</v>
      </c>
      <c r="D8" s="9" t="s">
        <v>89</v>
      </c>
    </row>
    <row r="9" customFormat="false" ht="15" hidden="false" customHeight="false" outlineLevel="0" collapsed="false">
      <c r="A9" s="13" t="s">
        <v>90</v>
      </c>
      <c r="B9" s="21" t="n">
        <f aca="false">$B$4*$B$7/$B$8</f>
        <v>34.9305521472393</v>
      </c>
      <c r="C9" s="13" t="s">
        <v>91</v>
      </c>
      <c r="D9" s="9" t="s">
        <v>92</v>
      </c>
    </row>
    <row r="10" customFormat="false" ht="15" hidden="false" customHeight="false" outlineLevel="0" collapsed="false">
      <c r="A10" s="13" t="s">
        <v>93</v>
      </c>
      <c r="B10" s="21" t="n">
        <f aca="false">$B$5*$B$7/$B$8</f>
        <v>103.78282208589</v>
      </c>
      <c r="C10" s="13" t="s">
        <v>91</v>
      </c>
      <c r="D10" s="9" t="s">
        <v>94</v>
      </c>
    </row>
    <row r="11" customFormat="false" ht="15" hidden="false" customHeight="false" outlineLevel="0" collapsed="false">
      <c r="A11" s="13" t="s">
        <v>95</v>
      </c>
      <c r="B11" s="21" t="n">
        <f aca="false">$B$6*$B$7/$B$8</f>
        <v>24.6575460122699</v>
      </c>
      <c r="C11" s="13" t="s">
        <v>91</v>
      </c>
      <c r="D11" s="9" t="s">
        <v>96</v>
      </c>
    </row>
    <row r="12" customFormat="false" ht="15" hidden="false" customHeight="false" outlineLevel="0" collapsed="false">
      <c r="A12" s="13" t="s">
        <v>97</v>
      </c>
      <c r="B12" s="19" t="n">
        <v>0.25</v>
      </c>
      <c r="C12" s="13" t="s">
        <v>98</v>
      </c>
      <c r="D12" s="9" t="s">
        <v>99</v>
      </c>
    </row>
    <row r="13" customFormat="false" ht="15" hidden="false" customHeight="false" outlineLevel="0" collapsed="false">
      <c r="A13" s="13" t="s">
        <v>100</v>
      </c>
      <c r="B13" s="19" t="n">
        <v>0.75</v>
      </c>
      <c r="C13" s="13" t="s">
        <v>98</v>
      </c>
      <c r="D13" s="9" t="s">
        <v>101</v>
      </c>
    </row>
    <row r="14" customFormat="false" ht="15" hidden="false" customHeight="false" outlineLevel="0" collapsed="false">
      <c r="A14" s="13" t="s">
        <v>102</v>
      </c>
      <c r="B14" s="19" t="n">
        <v>1</v>
      </c>
      <c r="C14" s="13" t="s">
        <v>98</v>
      </c>
      <c r="D14" s="9" t="s">
        <v>103</v>
      </c>
    </row>
    <row r="15" customFormat="false" ht="15" hidden="false" customHeight="false" outlineLevel="0" collapsed="false">
      <c r="A15" s="13" t="s">
        <v>104</v>
      </c>
      <c r="B15" s="19" t="n">
        <v>2</v>
      </c>
      <c r="C15" s="13" t="s">
        <v>98</v>
      </c>
      <c r="D15" s="9" t="s">
        <v>103</v>
      </c>
    </row>
    <row r="16" customFormat="false" ht="15" hidden="false" customHeight="false" outlineLevel="0" collapsed="false">
      <c r="A16" s="13" t="s">
        <v>105</v>
      </c>
      <c r="B16" s="20" t="n">
        <v>4</v>
      </c>
      <c r="C16" s="13" t="s">
        <v>106</v>
      </c>
      <c r="D16" s="9" t="s">
        <v>107</v>
      </c>
    </row>
    <row r="17" customFormat="false" ht="15" hidden="false" customHeight="false" outlineLevel="0" collapsed="false">
      <c r="A17" s="13" t="s">
        <v>108</v>
      </c>
      <c r="B17" s="19" t="n">
        <v>0.15</v>
      </c>
      <c r="C17" s="13" t="s">
        <v>98</v>
      </c>
      <c r="D17" s="9" t="s">
        <v>103</v>
      </c>
    </row>
    <row r="18" customFormat="false" ht="15" hidden="false" customHeight="false" outlineLevel="0" collapsed="false">
      <c r="A18" s="13" t="s">
        <v>109</v>
      </c>
      <c r="B18" s="19" t="n">
        <v>0.25</v>
      </c>
      <c r="C18" s="13" t="s">
        <v>98</v>
      </c>
      <c r="D18" s="9" t="s">
        <v>103</v>
      </c>
    </row>
    <row r="19" customFormat="false" ht="15" hidden="false" customHeight="false" outlineLevel="0" collapsed="false">
      <c r="A19" s="13" t="s">
        <v>110</v>
      </c>
      <c r="B19" s="19" t="n">
        <v>0.35</v>
      </c>
      <c r="C19" s="13" t="s">
        <v>98</v>
      </c>
      <c r="D19" s="9" t="s">
        <v>103</v>
      </c>
    </row>
    <row r="20" customFormat="false" ht="15" hidden="false" customHeight="false" outlineLevel="0" collapsed="false">
      <c r="A20" s="13" t="s">
        <v>111</v>
      </c>
      <c r="B20" s="19" t="n">
        <v>0.08</v>
      </c>
      <c r="C20" s="13" t="s">
        <v>112</v>
      </c>
      <c r="D20" s="9" t="s">
        <v>113</v>
      </c>
    </row>
    <row r="21" customFormat="false" ht="15" hidden="false" customHeight="false" outlineLevel="0" collapsed="false">
      <c r="A21" s="13" t="s">
        <v>114</v>
      </c>
      <c r="B21" s="20" t="n">
        <v>4</v>
      </c>
      <c r="C21" s="13" t="s">
        <v>106</v>
      </c>
      <c r="D21" s="9" t="s">
        <v>115</v>
      </c>
    </row>
    <row r="22" customFormat="false" ht="15" hidden="false" customHeight="false" outlineLevel="0" collapsed="false">
      <c r="A22" s="13" t="s">
        <v>116</v>
      </c>
      <c r="B22" s="19" t="n">
        <v>1.5</v>
      </c>
      <c r="C22" s="13" t="s">
        <v>76</v>
      </c>
      <c r="D22" s="9" t="s">
        <v>117</v>
      </c>
    </row>
    <row r="23" customFormat="false" ht="15" hidden="false" customHeight="false" outlineLevel="0" collapsed="false">
      <c r="A23" s="13" t="s">
        <v>118</v>
      </c>
      <c r="B23" s="20" t="n">
        <v>2</v>
      </c>
      <c r="C23" s="13" t="s">
        <v>119</v>
      </c>
      <c r="D23" s="9" t="s">
        <v>120</v>
      </c>
    </row>
    <row r="24" customFormat="false" ht="15" hidden="false" customHeight="false" outlineLevel="0" collapsed="false">
      <c r="A24" s="13" t="s">
        <v>121</v>
      </c>
      <c r="B24" s="20" t="n">
        <v>2</v>
      </c>
      <c r="C24" s="13" t="s">
        <v>88</v>
      </c>
      <c r="D24" s="9" t="s">
        <v>122</v>
      </c>
    </row>
    <row r="25" customFormat="false" ht="15" hidden="false" customHeight="false" outlineLevel="0" collapsed="false">
      <c r="A25" s="13" t="s">
        <v>123</v>
      </c>
      <c r="B25" s="20" t="n">
        <v>16</v>
      </c>
      <c r="C25" s="13" t="s">
        <v>88</v>
      </c>
      <c r="D25" s="9" t="s">
        <v>124</v>
      </c>
    </row>
    <row r="26" customFormat="false" ht="15" hidden="false" customHeight="false" outlineLevel="0" collapsed="false">
      <c r="A26" s="13" t="s">
        <v>125</v>
      </c>
      <c r="B26" s="22" t="n">
        <v>0.1</v>
      </c>
      <c r="C26" s="13" t="s">
        <v>126</v>
      </c>
      <c r="D26" s="9" t="s">
        <v>127</v>
      </c>
    </row>
    <row r="27" customFormat="false" ht="15" hidden="false" customHeight="false" outlineLevel="0" collapsed="false">
      <c r="A27" s="13" t="s">
        <v>128</v>
      </c>
      <c r="B27" s="22" t="n">
        <v>0.05</v>
      </c>
      <c r="C27" s="13" t="s">
        <v>126</v>
      </c>
      <c r="D27" s="9" t="s">
        <v>129</v>
      </c>
    </row>
    <row r="28" customFormat="false" ht="15" hidden="false" customHeight="false" outlineLevel="0" collapsed="false">
      <c r="A28" s="13" t="s">
        <v>130</v>
      </c>
      <c r="B28" s="22" t="n">
        <v>0.1</v>
      </c>
      <c r="C28" s="13" t="s">
        <v>126</v>
      </c>
      <c r="D28" s="9" t="s">
        <v>131</v>
      </c>
    </row>
    <row r="29" customFormat="false" ht="15" hidden="false" customHeight="false" outlineLevel="0" collapsed="false">
      <c r="A29" s="13" t="s">
        <v>132</v>
      </c>
      <c r="B29" s="20" t="n">
        <v>3</v>
      </c>
      <c r="C29" s="13" t="s">
        <v>133</v>
      </c>
      <c r="D29" s="9" t="s">
        <v>134</v>
      </c>
    </row>
    <row r="30" customFormat="false" ht="15" hidden="false" customHeight="false" outlineLevel="0" collapsed="false">
      <c r="A30" s="13" t="s">
        <v>135</v>
      </c>
      <c r="B30" s="20" t="n">
        <v>6</v>
      </c>
      <c r="C30" s="13" t="s">
        <v>133</v>
      </c>
      <c r="D30" s="9" t="s">
        <v>136</v>
      </c>
    </row>
    <row r="31" customFormat="false" ht="15" hidden="false" customHeight="false" outlineLevel="0" collapsed="false">
      <c r="A31" s="13" t="s">
        <v>137</v>
      </c>
      <c r="B31" s="19" t="n">
        <v>0.25</v>
      </c>
      <c r="C31" s="13" t="s">
        <v>133</v>
      </c>
      <c r="D31" s="9" t="s">
        <v>138</v>
      </c>
    </row>
    <row r="32" customFormat="false" ht="15" hidden="false" customHeight="false" outlineLevel="0" collapsed="false">
      <c r="A32" s="13" t="s">
        <v>139</v>
      </c>
      <c r="B32" s="20" t="n">
        <v>2</v>
      </c>
      <c r="C32" s="13" t="s">
        <v>140</v>
      </c>
      <c r="D32" s="9" t="s">
        <v>141</v>
      </c>
    </row>
    <row r="33" customFormat="false" ht="15" hidden="false" customHeight="false" outlineLevel="0" collapsed="false">
      <c r="A33" s="13" t="s">
        <v>142</v>
      </c>
      <c r="B33" s="19" t="n">
        <v>1.2</v>
      </c>
      <c r="C33" s="13" t="s">
        <v>133</v>
      </c>
      <c r="D33" s="9" t="s">
        <v>143</v>
      </c>
    </row>
    <row r="34" customFormat="false" ht="15" hidden="false" customHeight="false" outlineLevel="0" collapsed="false">
      <c r="A34" s="13" t="s">
        <v>144</v>
      </c>
      <c r="B34" s="19" t="n">
        <v>2</v>
      </c>
      <c r="C34" s="13" t="s">
        <v>133</v>
      </c>
      <c r="D34" s="9" t="s">
        <v>145</v>
      </c>
    </row>
    <row r="35" customFormat="false" ht="15" hidden="false" customHeight="false" outlineLevel="0" collapsed="false">
      <c r="A35" s="13" t="s">
        <v>146</v>
      </c>
      <c r="B35" s="20" t="n">
        <v>6</v>
      </c>
      <c r="C35" s="13" t="s">
        <v>133</v>
      </c>
      <c r="D35" s="9" t="s">
        <v>147</v>
      </c>
    </row>
    <row r="36" customFormat="false" ht="15" hidden="false" customHeight="false" outlineLevel="0" collapsed="false">
      <c r="A36" s="13" t="s">
        <v>148</v>
      </c>
      <c r="B36" s="20" t="n">
        <v>50</v>
      </c>
      <c r="C36" s="13" t="s">
        <v>133</v>
      </c>
      <c r="D36" s="9" t="s">
        <v>149</v>
      </c>
    </row>
    <row r="37" customFormat="false" ht="15" hidden="false" customHeight="false" outlineLevel="0" collapsed="false">
      <c r="A37" s="13" t="s">
        <v>150</v>
      </c>
      <c r="B37" s="20" t="n">
        <v>22</v>
      </c>
      <c r="C37" s="13" t="s">
        <v>151</v>
      </c>
      <c r="D37" s="9" t="s">
        <v>152</v>
      </c>
    </row>
    <row r="38" customFormat="false" ht="15" hidden="false" customHeight="false" outlineLevel="0" collapsed="false">
      <c r="A38" s="13" t="s">
        <v>153</v>
      </c>
      <c r="B38" s="20" t="n">
        <v>80</v>
      </c>
      <c r="C38" s="13" t="s">
        <v>133</v>
      </c>
      <c r="D38" s="9" t="s">
        <v>154</v>
      </c>
    </row>
    <row r="39" customFormat="false" ht="15" hidden="false" customHeight="false" outlineLevel="0" collapsed="false">
      <c r="A39" s="13" t="s">
        <v>155</v>
      </c>
      <c r="B39" s="22" t="n">
        <v>0.5</v>
      </c>
      <c r="C39" s="13" t="s">
        <v>126</v>
      </c>
      <c r="D39" s="9" t="s">
        <v>156</v>
      </c>
    </row>
    <row r="40" customFormat="false" ht="15" hidden="false" customHeight="false" outlineLevel="0" collapsed="false">
      <c r="A40" s="13" t="s">
        <v>157</v>
      </c>
      <c r="B40" s="20" t="n">
        <v>5000</v>
      </c>
      <c r="C40" s="13" t="s">
        <v>158</v>
      </c>
      <c r="D40" s="9" t="s">
        <v>159</v>
      </c>
    </row>
    <row r="41" customFormat="false" ht="15" hidden="false" customHeight="false" outlineLevel="0" collapsed="false">
      <c r="A41" s="13" t="s">
        <v>160</v>
      </c>
      <c r="B41" s="19" t="n">
        <v>2.2</v>
      </c>
      <c r="C41" s="13" t="s">
        <v>161</v>
      </c>
      <c r="D41" s="9" t="s">
        <v>162</v>
      </c>
    </row>
    <row r="42" customFormat="false" ht="15" hidden="false" customHeight="false" outlineLevel="0" collapsed="false">
      <c r="A42" s="13" t="s">
        <v>163</v>
      </c>
      <c r="B42" s="20" t="n">
        <v>30</v>
      </c>
      <c r="C42" s="13" t="s">
        <v>133</v>
      </c>
      <c r="D42" s="9" t="s">
        <v>164</v>
      </c>
    </row>
    <row r="43" customFormat="false" ht="15" hidden="false" customHeight="false" outlineLevel="0" collapsed="false">
      <c r="A43" s="13" t="s">
        <v>165</v>
      </c>
      <c r="B43" s="19" t="n">
        <v>1</v>
      </c>
      <c r="C43" s="13" t="s">
        <v>133</v>
      </c>
      <c r="D43" s="9" t="s">
        <v>166</v>
      </c>
    </row>
    <row r="44" customFormat="false" ht="15" hidden="false" customHeight="false" outlineLevel="0" collapsed="false">
      <c r="A44" s="13" t="s">
        <v>167</v>
      </c>
      <c r="B44" s="19" t="n">
        <v>0.1</v>
      </c>
      <c r="C44" s="13" t="s">
        <v>98</v>
      </c>
      <c r="D44" s="9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8" min="6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12"/>
  </cols>
  <sheetData>
    <row r="1" customFormat="false" ht="31.5" hidden="false" customHeight="true" outlineLevel="0" collapsed="false">
      <c r="A1" s="7" t="s">
        <v>168</v>
      </c>
      <c r="B1" s="7" t="s">
        <v>169</v>
      </c>
      <c r="C1" s="7" t="s">
        <v>170</v>
      </c>
      <c r="D1" s="7" t="s">
        <v>171</v>
      </c>
      <c r="E1" s="7" t="s">
        <v>172</v>
      </c>
      <c r="F1" s="7" t="s">
        <v>173</v>
      </c>
      <c r="G1" s="7" t="s">
        <v>174</v>
      </c>
      <c r="H1" s="7" t="s">
        <v>175</v>
      </c>
      <c r="I1" s="7" t="s">
        <v>176</v>
      </c>
      <c r="J1" s="7" t="s">
        <v>177</v>
      </c>
      <c r="K1" s="7" t="s">
        <v>178</v>
      </c>
      <c r="L1" s="7" t="s">
        <v>179</v>
      </c>
      <c r="M1" s="7" t="s">
        <v>180</v>
      </c>
      <c r="N1" s="7" t="s">
        <v>181</v>
      </c>
      <c r="O1" s="7" t="s">
        <v>182</v>
      </c>
    </row>
    <row r="2" customFormat="false" ht="15" hidden="false" customHeight="false" outlineLevel="0" collapsed="false">
      <c r="A2" s="23" t="s">
        <v>183</v>
      </c>
      <c r="B2" s="23" t="s">
        <v>184</v>
      </c>
      <c r="C2" s="23" t="s">
        <v>185</v>
      </c>
      <c r="D2" s="24" t="s">
        <v>186</v>
      </c>
      <c r="E2" s="25" t="n">
        <v>131</v>
      </c>
      <c r="F2" s="25" t="n">
        <v>29</v>
      </c>
      <c r="G2" s="25" t="n">
        <v>20</v>
      </c>
      <c r="H2" s="25" t="n">
        <v>2</v>
      </c>
      <c r="I2" s="25" t="n">
        <v>82</v>
      </c>
      <c r="J2" s="25" t="n">
        <v>2</v>
      </c>
      <c r="K2" s="25" t="n">
        <v>10</v>
      </c>
      <c r="L2" s="25" t="n">
        <v>13</v>
      </c>
      <c r="M2" s="26" t="n">
        <f aca="false">H2+J2</f>
        <v>4</v>
      </c>
      <c r="N2" s="26" t="n">
        <f aca="false">K2+M2</f>
        <v>14</v>
      </c>
      <c r="O2" s="25" t="n">
        <v>1</v>
      </c>
    </row>
    <row r="3" customFormat="false" ht="15" hidden="false" customHeight="false" outlineLevel="0" collapsed="false">
      <c r="A3" s="23" t="s">
        <v>187</v>
      </c>
      <c r="B3" s="23" t="s">
        <v>184</v>
      </c>
      <c r="C3" s="23" t="s">
        <v>188</v>
      </c>
      <c r="D3" s="24" t="s">
        <v>189</v>
      </c>
      <c r="E3" s="25" t="n">
        <v>201</v>
      </c>
      <c r="F3" s="25" t="n">
        <v>29</v>
      </c>
      <c r="G3" s="25" t="n">
        <v>16</v>
      </c>
      <c r="H3" s="25" t="n">
        <v>2</v>
      </c>
      <c r="I3" s="25" t="n">
        <v>156</v>
      </c>
      <c r="J3" s="25" t="n">
        <v>4</v>
      </c>
      <c r="K3" s="25" t="n">
        <v>10</v>
      </c>
      <c r="L3" s="25" t="n">
        <v>24</v>
      </c>
      <c r="M3" s="26" t="n">
        <f aca="false">H3+J3</f>
        <v>6</v>
      </c>
      <c r="N3" s="26" t="n">
        <f aca="false">K3+M3</f>
        <v>16</v>
      </c>
      <c r="O3" s="25" t="n">
        <v>1</v>
      </c>
    </row>
    <row r="4" customFormat="false" ht="15" hidden="false" customHeight="false" outlineLevel="0" collapsed="false">
      <c r="A4" s="23" t="s">
        <v>190</v>
      </c>
      <c r="B4" s="23" t="s">
        <v>184</v>
      </c>
      <c r="C4" s="23" t="s">
        <v>188</v>
      </c>
      <c r="D4" s="24" t="s">
        <v>186</v>
      </c>
      <c r="E4" s="25" t="n">
        <v>209</v>
      </c>
      <c r="F4" s="25" t="n">
        <v>29</v>
      </c>
      <c r="G4" s="25" t="n">
        <v>20</v>
      </c>
      <c r="H4" s="25" t="n">
        <v>2</v>
      </c>
      <c r="I4" s="25" t="n">
        <v>160</v>
      </c>
      <c r="J4" s="25" t="n">
        <v>4</v>
      </c>
      <c r="K4" s="25" t="n">
        <v>10</v>
      </c>
      <c r="L4" s="25" t="n">
        <v>25</v>
      </c>
      <c r="M4" s="26" t="n">
        <f aca="false">H4+J4</f>
        <v>6</v>
      </c>
      <c r="N4" s="26" t="n">
        <f aca="false">K4+M4</f>
        <v>16</v>
      </c>
      <c r="O4" s="25" t="n">
        <v>1</v>
      </c>
    </row>
    <row r="5" customFormat="false" ht="15" hidden="false" customHeight="false" outlineLevel="0" collapsed="false">
      <c r="A5" s="23" t="s">
        <v>191</v>
      </c>
      <c r="B5" s="23" t="s">
        <v>184</v>
      </c>
      <c r="C5" s="23" t="s">
        <v>188</v>
      </c>
      <c r="D5" s="24" t="s">
        <v>186</v>
      </c>
      <c r="E5" s="25" t="n">
        <v>209</v>
      </c>
      <c r="F5" s="25" t="n">
        <v>29</v>
      </c>
      <c r="G5" s="25" t="n">
        <v>20</v>
      </c>
      <c r="H5" s="25" t="n">
        <v>2</v>
      </c>
      <c r="I5" s="25" t="n">
        <v>160</v>
      </c>
      <c r="J5" s="25" t="n">
        <v>4</v>
      </c>
      <c r="K5" s="25" t="n">
        <v>10</v>
      </c>
      <c r="L5" s="25" t="n">
        <v>25</v>
      </c>
      <c r="M5" s="26" t="n">
        <f aca="false">H5+J5</f>
        <v>6</v>
      </c>
      <c r="N5" s="26" t="n">
        <f aca="false">K5+M5</f>
        <v>16</v>
      </c>
      <c r="O5" s="25" t="n">
        <v>1</v>
      </c>
    </row>
    <row r="6" customFormat="false" ht="15" hidden="false" customHeight="false" outlineLevel="0" collapsed="false">
      <c r="A6" s="23" t="s">
        <v>192</v>
      </c>
      <c r="B6" s="23" t="s">
        <v>184</v>
      </c>
      <c r="C6" s="23" t="s">
        <v>188</v>
      </c>
      <c r="D6" s="24" t="s">
        <v>186</v>
      </c>
      <c r="E6" s="25" t="n">
        <v>209</v>
      </c>
      <c r="F6" s="25" t="n">
        <v>29</v>
      </c>
      <c r="G6" s="25" t="n">
        <v>20</v>
      </c>
      <c r="H6" s="25" t="n">
        <v>2</v>
      </c>
      <c r="I6" s="25" t="n">
        <v>160</v>
      </c>
      <c r="J6" s="25" t="n">
        <v>4</v>
      </c>
      <c r="K6" s="25" t="n">
        <v>10</v>
      </c>
      <c r="L6" s="25" t="n">
        <v>25</v>
      </c>
      <c r="M6" s="26" t="n">
        <f aca="false">H6+J6</f>
        <v>6</v>
      </c>
      <c r="N6" s="26" t="n">
        <f aca="false">K6+M6</f>
        <v>16</v>
      </c>
      <c r="O6" s="25" t="n">
        <v>1</v>
      </c>
    </row>
    <row r="7" customFormat="false" ht="15" hidden="false" customHeight="false" outlineLevel="0" collapsed="false">
      <c r="A7" s="23" t="s">
        <v>193</v>
      </c>
      <c r="B7" s="23" t="s">
        <v>184</v>
      </c>
      <c r="C7" s="23" t="s">
        <v>188</v>
      </c>
      <c r="D7" s="24" t="s">
        <v>186</v>
      </c>
      <c r="E7" s="25" t="n">
        <v>205</v>
      </c>
      <c r="F7" s="25" t="n">
        <v>29</v>
      </c>
      <c r="G7" s="25" t="n">
        <v>16</v>
      </c>
      <c r="H7" s="25" t="n">
        <v>2</v>
      </c>
      <c r="I7" s="25" t="n">
        <v>160</v>
      </c>
      <c r="J7" s="25" t="n">
        <v>4</v>
      </c>
      <c r="K7" s="25" t="n">
        <v>10</v>
      </c>
      <c r="L7" s="25" t="n">
        <v>25</v>
      </c>
      <c r="M7" s="26" t="n">
        <f aca="false">H7+J7</f>
        <v>6</v>
      </c>
      <c r="N7" s="26" t="n">
        <f aca="false">K7+M7</f>
        <v>16</v>
      </c>
      <c r="O7" s="25" t="n">
        <v>1</v>
      </c>
    </row>
    <row r="8" customFormat="false" ht="15" hidden="false" customHeight="false" outlineLevel="0" collapsed="false">
      <c r="A8" s="23" t="s">
        <v>194</v>
      </c>
      <c r="B8" s="23" t="s">
        <v>184</v>
      </c>
      <c r="C8" s="23" t="s">
        <v>195</v>
      </c>
      <c r="D8" s="24" t="s">
        <v>186</v>
      </c>
      <c r="E8" s="25" t="n">
        <v>241</v>
      </c>
      <c r="F8" s="25" t="n">
        <v>29</v>
      </c>
      <c r="G8" s="25" t="n">
        <v>20</v>
      </c>
      <c r="H8" s="25" t="n">
        <v>2</v>
      </c>
      <c r="I8" s="25" t="n">
        <v>192</v>
      </c>
      <c r="J8" s="25" t="n">
        <v>5</v>
      </c>
      <c r="K8" s="25" t="n">
        <v>10</v>
      </c>
      <c r="L8" s="25" t="n">
        <v>29</v>
      </c>
      <c r="M8" s="26" t="n">
        <f aca="false">H8+J8</f>
        <v>7</v>
      </c>
      <c r="N8" s="26" t="n">
        <f aca="false">K8+M8</f>
        <v>17</v>
      </c>
      <c r="O8" s="25" t="n">
        <v>1</v>
      </c>
    </row>
    <row r="9" customFormat="false" ht="15" hidden="false" customHeight="false" outlineLevel="0" collapsed="false">
      <c r="A9" s="23" t="s">
        <v>196</v>
      </c>
      <c r="B9" s="23" t="s">
        <v>184</v>
      </c>
      <c r="C9" s="23" t="s">
        <v>195</v>
      </c>
      <c r="D9" s="24" t="s">
        <v>186</v>
      </c>
      <c r="E9" s="25" t="n">
        <v>237</v>
      </c>
      <c r="F9" s="25" t="n">
        <v>29</v>
      </c>
      <c r="G9" s="25" t="n">
        <v>20</v>
      </c>
      <c r="H9" s="25" t="n">
        <v>2</v>
      </c>
      <c r="I9" s="25" t="n">
        <v>188</v>
      </c>
      <c r="J9" s="25" t="n">
        <v>5</v>
      </c>
      <c r="K9" s="25" t="n">
        <v>10</v>
      </c>
      <c r="L9" s="25" t="n">
        <v>29</v>
      </c>
      <c r="M9" s="26" t="n">
        <f aca="false">H9+J9</f>
        <v>7</v>
      </c>
      <c r="N9" s="26" t="n">
        <f aca="false">K9+M9</f>
        <v>17</v>
      </c>
      <c r="O9" s="25" t="n">
        <v>1</v>
      </c>
    </row>
    <row r="10" customFormat="false" ht="15" hidden="false" customHeight="false" outlineLevel="0" collapsed="false">
      <c r="A10" s="23" t="s">
        <v>197</v>
      </c>
      <c r="B10" s="23" t="s">
        <v>184</v>
      </c>
      <c r="C10" s="23" t="s">
        <v>188</v>
      </c>
      <c r="D10" s="24" t="s">
        <v>186</v>
      </c>
      <c r="E10" s="25" t="n">
        <v>205</v>
      </c>
      <c r="F10" s="25" t="n">
        <v>29</v>
      </c>
      <c r="G10" s="25" t="n">
        <v>16</v>
      </c>
      <c r="H10" s="25" t="n">
        <v>2</v>
      </c>
      <c r="I10" s="25" t="n">
        <v>160</v>
      </c>
      <c r="J10" s="25" t="n">
        <v>4</v>
      </c>
      <c r="K10" s="25" t="n">
        <v>10</v>
      </c>
      <c r="L10" s="25" t="n">
        <v>25</v>
      </c>
      <c r="M10" s="26" t="n">
        <f aca="false">H10+J10</f>
        <v>6</v>
      </c>
      <c r="N10" s="26" t="n">
        <f aca="false">K10+M10</f>
        <v>16</v>
      </c>
      <c r="O10" s="25" t="n">
        <v>1</v>
      </c>
    </row>
    <row r="11" customFormat="false" ht="15" hidden="false" customHeight="false" outlineLevel="0" collapsed="false">
      <c r="A11" s="23" t="s">
        <v>198</v>
      </c>
      <c r="B11" s="23" t="s">
        <v>184</v>
      </c>
      <c r="C11" s="23" t="s">
        <v>188</v>
      </c>
      <c r="D11" s="24" t="s">
        <v>186</v>
      </c>
      <c r="E11" s="25" t="n">
        <v>209</v>
      </c>
      <c r="F11" s="25" t="n">
        <v>29</v>
      </c>
      <c r="G11" s="25" t="n">
        <v>20</v>
      </c>
      <c r="H11" s="25" t="n">
        <v>2</v>
      </c>
      <c r="I11" s="25" t="n">
        <v>160</v>
      </c>
      <c r="J11" s="25" t="n">
        <v>4</v>
      </c>
      <c r="K11" s="25" t="n">
        <v>10</v>
      </c>
      <c r="L11" s="25" t="n">
        <v>25</v>
      </c>
      <c r="M11" s="26" t="n">
        <f aca="false">H11+J11</f>
        <v>6</v>
      </c>
      <c r="N11" s="26" t="n">
        <f aca="false">K11+M11</f>
        <v>16</v>
      </c>
      <c r="O11" s="25" t="n">
        <v>1</v>
      </c>
    </row>
    <row r="12" customFormat="false" ht="15" hidden="false" customHeight="false" outlineLevel="0" collapsed="false">
      <c r="A12" s="23" t="s">
        <v>199</v>
      </c>
      <c r="B12" s="23" t="s">
        <v>184</v>
      </c>
      <c r="C12" s="23" t="s">
        <v>188</v>
      </c>
      <c r="D12" s="24" t="s">
        <v>186</v>
      </c>
      <c r="E12" s="25" t="n">
        <v>203</v>
      </c>
      <c r="F12" s="25" t="n">
        <v>29</v>
      </c>
      <c r="G12" s="25" t="n">
        <v>14</v>
      </c>
      <c r="H12" s="25" t="n">
        <v>2</v>
      </c>
      <c r="I12" s="25" t="n">
        <v>160</v>
      </c>
      <c r="J12" s="25" t="n">
        <v>4</v>
      </c>
      <c r="K12" s="25" t="n">
        <v>10</v>
      </c>
      <c r="L12" s="25" t="n">
        <v>25</v>
      </c>
      <c r="M12" s="26" t="n">
        <f aca="false">H12+J12</f>
        <v>6</v>
      </c>
      <c r="N12" s="26" t="n">
        <f aca="false">K12+M12</f>
        <v>16</v>
      </c>
      <c r="O12" s="25" t="n">
        <v>1</v>
      </c>
    </row>
    <row r="13" customFormat="false" ht="15" hidden="false" customHeight="false" outlineLevel="0" collapsed="false">
      <c r="A13" s="23" t="s">
        <v>200</v>
      </c>
      <c r="B13" s="23" t="s">
        <v>184</v>
      </c>
      <c r="C13" s="23" t="s">
        <v>188</v>
      </c>
      <c r="D13" s="24" t="s">
        <v>186</v>
      </c>
      <c r="E13" s="25" t="n">
        <v>209</v>
      </c>
      <c r="F13" s="25" t="n">
        <v>29</v>
      </c>
      <c r="G13" s="25" t="n">
        <v>20</v>
      </c>
      <c r="H13" s="25" t="n">
        <v>2</v>
      </c>
      <c r="I13" s="25" t="n">
        <v>160</v>
      </c>
      <c r="J13" s="25" t="n">
        <v>4</v>
      </c>
      <c r="K13" s="25" t="n">
        <v>10</v>
      </c>
      <c r="L13" s="25" t="n">
        <v>25</v>
      </c>
      <c r="M13" s="26" t="n">
        <f aca="false">H13+J13</f>
        <v>6</v>
      </c>
      <c r="N13" s="26" t="n">
        <f aca="false">K13+M13</f>
        <v>16</v>
      </c>
      <c r="O13" s="25" t="n">
        <v>1</v>
      </c>
    </row>
    <row r="14" customFormat="false" ht="15" hidden="false" customHeight="false" outlineLevel="0" collapsed="false">
      <c r="A14" s="23" t="s">
        <v>201</v>
      </c>
      <c r="B14" s="23" t="s">
        <v>184</v>
      </c>
      <c r="C14" s="23" t="s">
        <v>195</v>
      </c>
      <c r="D14" s="24" t="s">
        <v>186</v>
      </c>
      <c r="E14" s="25" t="n">
        <v>231</v>
      </c>
      <c r="F14" s="25" t="n">
        <v>29</v>
      </c>
      <c r="G14" s="25" t="n">
        <v>10</v>
      </c>
      <c r="H14" s="25" t="n">
        <v>2</v>
      </c>
      <c r="I14" s="25" t="n">
        <v>192</v>
      </c>
      <c r="J14" s="25" t="n">
        <v>5</v>
      </c>
      <c r="K14" s="25" t="n">
        <v>10</v>
      </c>
      <c r="L14" s="25" t="n">
        <v>29</v>
      </c>
      <c r="M14" s="26" t="n">
        <f aca="false">H14+J14</f>
        <v>7</v>
      </c>
      <c r="N14" s="26" t="n">
        <f aca="false">K14+M14</f>
        <v>17</v>
      </c>
      <c r="O14" s="25" t="n">
        <v>1</v>
      </c>
    </row>
    <row r="15" customFormat="false" ht="15" hidden="false" customHeight="false" outlineLevel="0" collapsed="false">
      <c r="A15" s="23" t="s">
        <v>202</v>
      </c>
      <c r="B15" s="23" t="s">
        <v>184</v>
      </c>
      <c r="C15" s="23" t="s">
        <v>195</v>
      </c>
      <c r="D15" s="24" t="s">
        <v>186</v>
      </c>
      <c r="E15" s="25" t="n">
        <v>237</v>
      </c>
      <c r="F15" s="25" t="n">
        <v>29</v>
      </c>
      <c r="G15" s="25" t="n">
        <v>20</v>
      </c>
      <c r="H15" s="25" t="n">
        <v>2</v>
      </c>
      <c r="I15" s="25" t="n">
        <v>188</v>
      </c>
      <c r="J15" s="25" t="n">
        <v>5</v>
      </c>
      <c r="K15" s="25" t="n">
        <v>10</v>
      </c>
      <c r="L15" s="25" t="n">
        <v>29</v>
      </c>
      <c r="M15" s="26" t="n">
        <f aca="false">H15+J15</f>
        <v>7</v>
      </c>
      <c r="N15" s="26" t="n">
        <f aca="false">K15+M15</f>
        <v>17</v>
      </c>
      <c r="O15" s="25" t="n">
        <v>1</v>
      </c>
    </row>
    <row r="16" customFormat="false" ht="15" hidden="false" customHeight="false" outlineLevel="0" collapsed="false">
      <c r="A16" s="23" t="s">
        <v>203</v>
      </c>
      <c r="B16" s="23" t="s">
        <v>184</v>
      </c>
      <c r="C16" s="23" t="s">
        <v>188</v>
      </c>
      <c r="D16" s="24" t="s">
        <v>186</v>
      </c>
      <c r="E16" s="25" t="n">
        <v>205</v>
      </c>
      <c r="F16" s="25" t="n">
        <v>29</v>
      </c>
      <c r="G16" s="25" t="n">
        <v>16</v>
      </c>
      <c r="H16" s="25" t="n">
        <v>2</v>
      </c>
      <c r="I16" s="25" t="n">
        <v>160</v>
      </c>
      <c r="J16" s="25" t="n">
        <v>4</v>
      </c>
      <c r="K16" s="25" t="n">
        <v>10</v>
      </c>
      <c r="L16" s="25" t="n">
        <v>25</v>
      </c>
      <c r="M16" s="26" t="n">
        <f aca="false">H16+J16</f>
        <v>6</v>
      </c>
      <c r="N16" s="26" t="n">
        <f aca="false">K16+M16</f>
        <v>16</v>
      </c>
      <c r="O16" s="25" t="n">
        <v>1</v>
      </c>
    </row>
    <row r="17" customFormat="false" ht="15" hidden="false" customHeight="false" outlineLevel="0" collapsed="false">
      <c r="A17" s="23" t="s">
        <v>204</v>
      </c>
      <c r="B17" s="23" t="s">
        <v>184</v>
      </c>
      <c r="C17" s="23" t="s">
        <v>188</v>
      </c>
      <c r="D17" s="24" t="s">
        <v>186</v>
      </c>
      <c r="E17" s="25" t="n">
        <v>209</v>
      </c>
      <c r="F17" s="25" t="n">
        <v>29</v>
      </c>
      <c r="G17" s="25" t="n">
        <v>20</v>
      </c>
      <c r="H17" s="25" t="n">
        <v>2</v>
      </c>
      <c r="I17" s="25" t="n">
        <v>160</v>
      </c>
      <c r="J17" s="25" t="n">
        <v>4</v>
      </c>
      <c r="K17" s="25" t="n">
        <v>10</v>
      </c>
      <c r="L17" s="25" t="n">
        <v>25</v>
      </c>
      <c r="M17" s="26" t="n">
        <f aca="false">H17+J17</f>
        <v>6</v>
      </c>
      <c r="N17" s="26" t="n">
        <f aca="false">K17+M17</f>
        <v>16</v>
      </c>
      <c r="O17" s="25" t="n">
        <v>1</v>
      </c>
    </row>
    <row r="18" customFormat="false" ht="15" hidden="false" customHeight="false" outlineLevel="0" collapsed="false">
      <c r="A18" s="23" t="s">
        <v>205</v>
      </c>
      <c r="B18" s="23" t="s">
        <v>184</v>
      </c>
      <c r="C18" s="23" t="s">
        <v>188</v>
      </c>
      <c r="D18" s="24" t="s">
        <v>186</v>
      </c>
      <c r="E18" s="25" t="n">
        <v>203</v>
      </c>
      <c r="F18" s="25" t="n">
        <v>29</v>
      </c>
      <c r="G18" s="25" t="n">
        <v>14</v>
      </c>
      <c r="H18" s="25" t="n">
        <v>2</v>
      </c>
      <c r="I18" s="25" t="n">
        <v>160</v>
      </c>
      <c r="J18" s="25" t="n">
        <v>4</v>
      </c>
      <c r="K18" s="25" t="n">
        <v>10</v>
      </c>
      <c r="L18" s="25" t="n">
        <v>25</v>
      </c>
      <c r="M18" s="26" t="n">
        <f aca="false">H18+J18</f>
        <v>6</v>
      </c>
      <c r="N18" s="26" t="n">
        <f aca="false">K18+M18</f>
        <v>16</v>
      </c>
      <c r="O18" s="25" t="n">
        <v>1</v>
      </c>
    </row>
    <row r="19" customFormat="false" ht="15" hidden="false" customHeight="false" outlineLevel="0" collapsed="false">
      <c r="A19" s="23" t="s">
        <v>206</v>
      </c>
      <c r="B19" s="23" t="s">
        <v>184</v>
      </c>
      <c r="C19" s="23" t="s">
        <v>188</v>
      </c>
      <c r="D19" s="24" t="s">
        <v>186</v>
      </c>
      <c r="E19" s="25" t="n">
        <v>209</v>
      </c>
      <c r="F19" s="25" t="n">
        <v>29</v>
      </c>
      <c r="G19" s="25" t="n">
        <v>20</v>
      </c>
      <c r="H19" s="25" t="n">
        <v>2</v>
      </c>
      <c r="I19" s="25" t="n">
        <v>160</v>
      </c>
      <c r="J19" s="25" t="n">
        <v>4</v>
      </c>
      <c r="K19" s="25" t="n">
        <v>10</v>
      </c>
      <c r="L19" s="25" t="n">
        <v>25</v>
      </c>
      <c r="M19" s="26" t="n">
        <f aca="false">H19+J19</f>
        <v>6</v>
      </c>
      <c r="N19" s="26" t="n">
        <f aca="false">K19+M19</f>
        <v>16</v>
      </c>
      <c r="O19" s="25" t="n">
        <v>1</v>
      </c>
    </row>
    <row r="20" customFormat="false" ht="15" hidden="false" customHeight="false" outlineLevel="0" collapsed="false">
      <c r="A20" s="23" t="s">
        <v>207</v>
      </c>
      <c r="B20" s="23" t="s">
        <v>184</v>
      </c>
      <c r="C20" s="23" t="s">
        <v>188</v>
      </c>
      <c r="D20" s="24" t="s">
        <v>186</v>
      </c>
      <c r="E20" s="25" t="n">
        <v>199</v>
      </c>
      <c r="F20" s="25" t="n">
        <v>29</v>
      </c>
      <c r="G20" s="25" t="n">
        <v>10</v>
      </c>
      <c r="H20" s="25" t="n">
        <v>2</v>
      </c>
      <c r="I20" s="25" t="n">
        <v>160</v>
      </c>
      <c r="J20" s="25" t="n">
        <v>4</v>
      </c>
      <c r="K20" s="25" t="n">
        <v>10</v>
      </c>
      <c r="L20" s="25" t="n">
        <v>25</v>
      </c>
      <c r="M20" s="26" t="n">
        <f aca="false">H20+J20</f>
        <v>6</v>
      </c>
      <c r="N20" s="26" t="n">
        <f aca="false">K20+M20</f>
        <v>16</v>
      </c>
      <c r="O20" s="25" t="n">
        <v>1</v>
      </c>
    </row>
    <row r="21" customFormat="false" ht="15" hidden="false" customHeight="false" outlineLevel="0" collapsed="false">
      <c r="A21" s="23" t="s">
        <v>208</v>
      </c>
      <c r="B21" s="23" t="s">
        <v>184</v>
      </c>
      <c r="C21" s="23" t="s">
        <v>185</v>
      </c>
      <c r="D21" s="24" t="s">
        <v>186</v>
      </c>
      <c r="E21" s="25" t="n">
        <v>43</v>
      </c>
      <c r="F21" s="25" t="n">
        <v>29</v>
      </c>
      <c r="G21" s="25" t="n">
        <v>10</v>
      </c>
      <c r="H21" s="25" t="n">
        <v>2</v>
      </c>
      <c r="I21" s="25" t="n">
        <v>4</v>
      </c>
      <c r="J21" s="25" t="n">
        <v>1</v>
      </c>
      <c r="K21" s="25" t="n">
        <v>10</v>
      </c>
      <c r="L21" s="25" t="n">
        <v>1</v>
      </c>
      <c r="M21" s="26" t="n">
        <f aca="false">H21+J21</f>
        <v>3</v>
      </c>
      <c r="N21" s="26" t="n">
        <f aca="false">K21+M21</f>
        <v>13</v>
      </c>
      <c r="O21" s="25" t="n">
        <v>1</v>
      </c>
    </row>
    <row r="22" customFormat="false" ht="15" hidden="false" customHeight="false" outlineLevel="0" collapsed="false">
      <c r="A22" s="23" t="s">
        <v>209</v>
      </c>
      <c r="B22" s="23" t="s">
        <v>210</v>
      </c>
      <c r="C22" s="23" t="s">
        <v>185</v>
      </c>
      <c r="D22" s="24" t="s">
        <v>186</v>
      </c>
      <c r="E22" s="25" t="n">
        <v>176</v>
      </c>
      <c r="F22" s="25" t="n">
        <v>35</v>
      </c>
      <c r="G22" s="25" t="n">
        <v>13</v>
      </c>
      <c r="H22" s="25" t="n">
        <v>2</v>
      </c>
      <c r="I22" s="25" t="n">
        <v>128</v>
      </c>
      <c r="J22" s="25" t="n">
        <v>4</v>
      </c>
      <c r="K22" s="25" t="n">
        <v>10</v>
      </c>
      <c r="L22" s="25" t="n">
        <v>24</v>
      </c>
      <c r="M22" s="26" t="n">
        <f aca="false">H22+J22</f>
        <v>6</v>
      </c>
      <c r="N22" s="26" t="n">
        <f aca="false">K22+M22</f>
        <v>16</v>
      </c>
      <c r="O22" s="25" t="n">
        <v>1</v>
      </c>
    </row>
    <row r="23" customFormat="false" ht="15" hidden="false" customHeight="false" outlineLevel="0" collapsed="false">
      <c r="A23" s="23" t="s">
        <v>211</v>
      </c>
      <c r="B23" s="23" t="s">
        <v>210</v>
      </c>
      <c r="C23" s="23" t="s">
        <v>188</v>
      </c>
      <c r="D23" s="24" t="s">
        <v>189</v>
      </c>
      <c r="E23" s="25" t="n">
        <v>181</v>
      </c>
      <c r="F23" s="25" t="n">
        <v>35</v>
      </c>
      <c r="G23" s="25" t="n">
        <v>15</v>
      </c>
      <c r="H23" s="25" t="n">
        <v>2</v>
      </c>
      <c r="I23" s="25" t="n">
        <v>131</v>
      </c>
      <c r="J23" s="25" t="n">
        <v>4</v>
      </c>
      <c r="K23" s="25" t="n">
        <v>10</v>
      </c>
      <c r="L23" s="25" t="n">
        <v>25</v>
      </c>
      <c r="M23" s="26" t="n">
        <f aca="false">H23+J23</f>
        <v>6</v>
      </c>
      <c r="N23" s="26" t="n">
        <f aca="false">K23+M23</f>
        <v>16</v>
      </c>
      <c r="O23" s="25" t="n">
        <v>1</v>
      </c>
    </row>
    <row r="24" customFormat="false" ht="15" hidden="false" customHeight="false" outlineLevel="0" collapsed="false">
      <c r="A24" s="23" t="s">
        <v>212</v>
      </c>
      <c r="B24" s="23" t="s">
        <v>210</v>
      </c>
      <c r="C24" s="23" t="s">
        <v>188</v>
      </c>
      <c r="D24" s="24" t="s">
        <v>186</v>
      </c>
      <c r="E24" s="25" t="n">
        <v>181</v>
      </c>
      <c r="F24" s="25" t="n">
        <v>35</v>
      </c>
      <c r="G24" s="25" t="n">
        <v>15</v>
      </c>
      <c r="H24" s="25" t="n">
        <v>2</v>
      </c>
      <c r="I24" s="25" t="n">
        <v>131</v>
      </c>
      <c r="J24" s="25" t="n">
        <v>4</v>
      </c>
      <c r="K24" s="25" t="n">
        <v>10</v>
      </c>
      <c r="L24" s="25" t="n">
        <v>25</v>
      </c>
      <c r="M24" s="26" t="n">
        <f aca="false">H24+J24</f>
        <v>6</v>
      </c>
      <c r="N24" s="26" t="n">
        <f aca="false">K24+M24</f>
        <v>16</v>
      </c>
      <c r="O24" s="25" t="n">
        <v>1</v>
      </c>
    </row>
    <row r="25" customFormat="false" ht="15" hidden="false" customHeight="false" outlineLevel="0" collapsed="false">
      <c r="A25" s="23" t="s">
        <v>213</v>
      </c>
      <c r="B25" s="23" t="s">
        <v>210</v>
      </c>
      <c r="C25" s="23" t="s">
        <v>188</v>
      </c>
      <c r="D25" s="24" t="s">
        <v>186</v>
      </c>
      <c r="E25" s="25" t="n">
        <v>181</v>
      </c>
      <c r="F25" s="25" t="n">
        <v>35</v>
      </c>
      <c r="G25" s="25" t="n">
        <v>15</v>
      </c>
      <c r="H25" s="25" t="n">
        <v>2</v>
      </c>
      <c r="I25" s="25" t="n">
        <v>131</v>
      </c>
      <c r="J25" s="25" t="n">
        <v>4</v>
      </c>
      <c r="K25" s="25" t="n">
        <v>10</v>
      </c>
      <c r="L25" s="25" t="n">
        <v>25</v>
      </c>
      <c r="M25" s="26" t="n">
        <f aca="false">H25+J25</f>
        <v>6</v>
      </c>
      <c r="N25" s="26" t="n">
        <f aca="false">K25+M25</f>
        <v>16</v>
      </c>
      <c r="O25" s="25" t="n">
        <v>1</v>
      </c>
    </row>
    <row r="26" customFormat="false" ht="15" hidden="false" customHeight="false" outlineLevel="0" collapsed="false">
      <c r="A26" s="23" t="s">
        <v>214</v>
      </c>
      <c r="B26" s="23" t="s">
        <v>210</v>
      </c>
      <c r="C26" s="23" t="s">
        <v>188</v>
      </c>
      <c r="D26" s="24" t="s">
        <v>186</v>
      </c>
      <c r="E26" s="25" t="n">
        <v>179</v>
      </c>
      <c r="F26" s="25" t="n">
        <v>35</v>
      </c>
      <c r="G26" s="25" t="n">
        <v>13</v>
      </c>
      <c r="H26" s="25" t="n">
        <v>2</v>
      </c>
      <c r="I26" s="25" t="n">
        <v>131</v>
      </c>
      <c r="J26" s="25" t="n">
        <v>4</v>
      </c>
      <c r="K26" s="25" t="n">
        <v>10</v>
      </c>
      <c r="L26" s="25" t="n">
        <v>25</v>
      </c>
      <c r="M26" s="26" t="n">
        <f aca="false">H26+J26</f>
        <v>6</v>
      </c>
      <c r="N26" s="26" t="n">
        <f aca="false">K26+M26</f>
        <v>16</v>
      </c>
      <c r="O26" s="25" t="n">
        <v>1</v>
      </c>
    </row>
    <row r="27" customFormat="false" ht="15" hidden="false" customHeight="false" outlineLevel="0" collapsed="false">
      <c r="A27" s="23" t="s">
        <v>215</v>
      </c>
      <c r="B27" s="23" t="s">
        <v>210</v>
      </c>
      <c r="C27" s="23" t="s">
        <v>188</v>
      </c>
      <c r="D27" s="24" t="s">
        <v>186</v>
      </c>
      <c r="E27" s="25" t="n">
        <v>181</v>
      </c>
      <c r="F27" s="25" t="n">
        <v>35</v>
      </c>
      <c r="G27" s="25" t="n">
        <v>15</v>
      </c>
      <c r="H27" s="25" t="n">
        <v>2</v>
      </c>
      <c r="I27" s="25" t="n">
        <v>131</v>
      </c>
      <c r="J27" s="25" t="n">
        <v>4</v>
      </c>
      <c r="K27" s="25" t="n">
        <v>10</v>
      </c>
      <c r="L27" s="25" t="n">
        <v>25</v>
      </c>
      <c r="M27" s="26" t="n">
        <f aca="false">H27+J27</f>
        <v>6</v>
      </c>
      <c r="N27" s="26" t="n">
        <f aca="false">K27+M27</f>
        <v>16</v>
      </c>
      <c r="O27" s="25" t="n">
        <v>1</v>
      </c>
    </row>
    <row r="28" customFormat="false" ht="15" hidden="false" customHeight="false" outlineLevel="0" collapsed="false">
      <c r="A28" s="23" t="s">
        <v>216</v>
      </c>
      <c r="B28" s="23" t="s">
        <v>210</v>
      </c>
      <c r="C28" s="23" t="s">
        <v>195</v>
      </c>
      <c r="D28" s="24" t="s">
        <v>186</v>
      </c>
      <c r="E28" s="25" t="n">
        <v>280</v>
      </c>
      <c r="F28" s="25" t="n">
        <v>35</v>
      </c>
      <c r="G28" s="25" t="n">
        <v>15</v>
      </c>
      <c r="H28" s="25" t="n">
        <v>2</v>
      </c>
      <c r="I28" s="25" t="n">
        <v>230</v>
      </c>
      <c r="J28" s="25" t="n">
        <v>7</v>
      </c>
      <c r="K28" s="25" t="n">
        <v>10</v>
      </c>
      <c r="L28" s="25" t="n">
        <v>37</v>
      </c>
      <c r="M28" s="26" t="n">
        <f aca="false">H28+J28</f>
        <v>9</v>
      </c>
      <c r="N28" s="26" t="n">
        <f aca="false">K28+M28</f>
        <v>19</v>
      </c>
      <c r="O28" s="25" t="n">
        <v>1</v>
      </c>
    </row>
    <row r="29" customFormat="false" ht="15" hidden="false" customHeight="false" outlineLevel="0" collapsed="false">
      <c r="A29" s="23" t="s">
        <v>217</v>
      </c>
      <c r="B29" s="23" t="s">
        <v>210</v>
      </c>
      <c r="C29" s="23" t="s">
        <v>195</v>
      </c>
      <c r="D29" s="24" t="s">
        <v>186</v>
      </c>
      <c r="E29" s="25" t="n">
        <v>277</v>
      </c>
      <c r="F29" s="25" t="n">
        <v>35</v>
      </c>
      <c r="G29" s="25" t="n">
        <v>15</v>
      </c>
      <c r="H29" s="25" t="n">
        <v>2</v>
      </c>
      <c r="I29" s="25" t="n">
        <v>227</v>
      </c>
      <c r="J29" s="25" t="n">
        <v>7</v>
      </c>
      <c r="K29" s="25" t="n">
        <v>10</v>
      </c>
      <c r="L29" s="25" t="n">
        <v>37</v>
      </c>
      <c r="M29" s="26" t="n">
        <f aca="false">H29+J29</f>
        <v>9</v>
      </c>
      <c r="N29" s="26" t="n">
        <f aca="false">K29+M29</f>
        <v>19</v>
      </c>
      <c r="O29" s="25" t="n">
        <v>1</v>
      </c>
    </row>
    <row r="30" customFormat="false" ht="15" hidden="false" customHeight="false" outlineLevel="0" collapsed="false">
      <c r="A30" s="23" t="s">
        <v>218</v>
      </c>
      <c r="B30" s="23" t="s">
        <v>210</v>
      </c>
      <c r="C30" s="23" t="s">
        <v>188</v>
      </c>
      <c r="D30" s="24" t="s">
        <v>186</v>
      </c>
      <c r="E30" s="25" t="n">
        <v>179</v>
      </c>
      <c r="F30" s="25" t="n">
        <v>35</v>
      </c>
      <c r="G30" s="25" t="n">
        <v>13</v>
      </c>
      <c r="H30" s="25" t="n">
        <v>2</v>
      </c>
      <c r="I30" s="25" t="n">
        <v>131</v>
      </c>
      <c r="J30" s="25" t="n">
        <v>4</v>
      </c>
      <c r="K30" s="25" t="n">
        <v>10</v>
      </c>
      <c r="L30" s="25" t="n">
        <v>25</v>
      </c>
      <c r="M30" s="26" t="n">
        <f aca="false">H30+J30</f>
        <v>6</v>
      </c>
      <c r="N30" s="26" t="n">
        <f aca="false">K30+M30</f>
        <v>16</v>
      </c>
      <c r="O30" s="25" t="n">
        <v>1</v>
      </c>
    </row>
    <row r="31" customFormat="false" ht="15" hidden="false" customHeight="false" outlineLevel="0" collapsed="false">
      <c r="A31" s="23" t="s">
        <v>219</v>
      </c>
      <c r="B31" s="23" t="s">
        <v>210</v>
      </c>
      <c r="C31" s="23" t="s">
        <v>188</v>
      </c>
      <c r="D31" s="24" t="s">
        <v>186</v>
      </c>
      <c r="E31" s="25" t="n">
        <v>181</v>
      </c>
      <c r="F31" s="25" t="n">
        <v>35</v>
      </c>
      <c r="G31" s="25" t="n">
        <v>15</v>
      </c>
      <c r="H31" s="25" t="n">
        <v>2</v>
      </c>
      <c r="I31" s="25" t="n">
        <v>131</v>
      </c>
      <c r="J31" s="25" t="n">
        <v>4</v>
      </c>
      <c r="K31" s="25" t="n">
        <v>10</v>
      </c>
      <c r="L31" s="25" t="n">
        <v>25</v>
      </c>
      <c r="M31" s="26" t="n">
        <f aca="false">H31+J31</f>
        <v>6</v>
      </c>
      <c r="N31" s="26" t="n">
        <f aca="false">K31+M31</f>
        <v>16</v>
      </c>
      <c r="O31" s="25" t="n">
        <v>1</v>
      </c>
    </row>
    <row r="32" customFormat="false" ht="15" hidden="false" customHeight="false" outlineLevel="0" collapsed="false">
      <c r="A32" s="23" t="s">
        <v>220</v>
      </c>
      <c r="B32" s="23" t="s">
        <v>210</v>
      </c>
      <c r="C32" s="23" t="s">
        <v>188</v>
      </c>
      <c r="D32" s="24" t="s">
        <v>186</v>
      </c>
      <c r="E32" s="25" t="n">
        <v>177</v>
      </c>
      <c r="F32" s="25" t="n">
        <v>35</v>
      </c>
      <c r="G32" s="25" t="n">
        <v>11</v>
      </c>
      <c r="H32" s="25" t="n">
        <v>2</v>
      </c>
      <c r="I32" s="25" t="n">
        <v>131</v>
      </c>
      <c r="J32" s="25" t="n">
        <v>4</v>
      </c>
      <c r="K32" s="25" t="n">
        <v>10</v>
      </c>
      <c r="L32" s="25" t="n">
        <v>25</v>
      </c>
      <c r="M32" s="26" t="n">
        <f aca="false">H32+J32</f>
        <v>6</v>
      </c>
      <c r="N32" s="26" t="n">
        <f aca="false">K32+M32</f>
        <v>16</v>
      </c>
      <c r="O32" s="25" t="n">
        <v>1</v>
      </c>
    </row>
    <row r="33" customFormat="false" ht="15" hidden="false" customHeight="false" outlineLevel="0" collapsed="false">
      <c r="A33" s="23" t="s">
        <v>221</v>
      </c>
      <c r="B33" s="23" t="s">
        <v>210</v>
      </c>
      <c r="C33" s="23" t="s">
        <v>188</v>
      </c>
      <c r="D33" s="24" t="s">
        <v>186</v>
      </c>
      <c r="E33" s="25" t="n">
        <v>181</v>
      </c>
      <c r="F33" s="25" t="n">
        <v>35</v>
      </c>
      <c r="G33" s="25" t="n">
        <v>15</v>
      </c>
      <c r="H33" s="25" t="n">
        <v>2</v>
      </c>
      <c r="I33" s="25" t="n">
        <v>131</v>
      </c>
      <c r="J33" s="25" t="n">
        <v>4</v>
      </c>
      <c r="K33" s="25" t="n">
        <v>10</v>
      </c>
      <c r="L33" s="25" t="n">
        <v>25</v>
      </c>
      <c r="M33" s="26" t="n">
        <f aca="false">H33+J33</f>
        <v>6</v>
      </c>
      <c r="N33" s="26" t="n">
        <f aca="false">K33+M33</f>
        <v>16</v>
      </c>
      <c r="O33" s="25" t="n">
        <v>1</v>
      </c>
    </row>
    <row r="34" customFormat="false" ht="15" hidden="false" customHeight="false" outlineLevel="0" collapsed="false">
      <c r="A34" s="23" t="s">
        <v>222</v>
      </c>
      <c r="B34" s="23" t="s">
        <v>210</v>
      </c>
      <c r="C34" s="23" t="s">
        <v>195</v>
      </c>
      <c r="D34" s="24" t="s">
        <v>186</v>
      </c>
      <c r="E34" s="25" t="n">
        <v>274</v>
      </c>
      <c r="F34" s="25" t="n">
        <v>35</v>
      </c>
      <c r="G34" s="25" t="n">
        <v>9</v>
      </c>
      <c r="H34" s="25" t="n">
        <v>2</v>
      </c>
      <c r="I34" s="25" t="n">
        <v>230</v>
      </c>
      <c r="J34" s="25" t="n">
        <v>7</v>
      </c>
      <c r="K34" s="25" t="n">
        <v>10</v>
      </c>
      <c r="L34" s="25" t="n">
        <v>37</v>
      </c>
      <c r="M34" s="26" t="n">
        <f aca="false">H34+J34</f>
        <v>9</v>
      </c>
      <c r="N34" s="26" t="n">
        <f aca="false">K34+M34</f>
        <v>19</v>
      </c>
      <c r="O34" s="25" t="n">
        <v>1</v>
      </c>
    </row>
    <row r="35" customFormat="false" ht="15" hidden="false" customHeight="false" outlineLevel="0" collapsed="false">
      <c r="A35" s="23" t="s">
        <v>223</v>
      </c>
      <c r="B35" s="23" t="s">
        <v>210</v>
      </c>
      <c r="C35" s="23" t="s">
        <v>195</v>
      </c>
      <c r="D35" s="24" t="s">
        <v>186</v>
      </c>
      <c r="E35" s="25" t="n">
        <v>277</v>
      </c>
      <c r="F35" s="25" t="n">
        <v>35</v>
      </c>
      <c r="G35" s="25" t="n">
        <v>15</v>
      </c>
      <c r="H35" s="25" t="n">
        <v>2</v>
      </c>
      <c r="I35" s="25" t="n">
        <v>227</v>
      </c>
      <c r="J35" s="25" t="n">
        <v>7</v>
      </c>
      <c r="K35" s="25" t="n">
        <v>10</v>
      </c>
      <c r="L35" s="25" t="n">
        <v>37</v>
      </c>
      <c r="M35" s="26" t="n">
        <f aca="false">H35+J35</f>
        <v>9</v>
      </c>
      <c r="N35" s="26" t="n">
        <f aca="false">K35+M35</f>
        <v>19</v>
      </c>
      <c r="O35" s="25" t="n">
        <v>1</v>
      </c>
    </row>
    <row r="36" customFormat="false" ht="15" hidden="false" customHeight="false" outlineLevel="0" collapsed="false">
      <c r="A36" s="23" t="s">
        <v>224</v>
      </c>
      <c r="B36" s="23" t="s">
        <v>210</v>
      </c>
      <c r="C36" s="23" t="s">
        <v>188</v>
      </c>
      <c r="D36" s="24" t="s">
        <v>186</v>
      </c>
      <c r="E36" s="25" t="n">
        <v>179</v>
      </c>
      <c r="F36" s="25" t="n">
        <v>35</v>
      </c>
      <c r="G36" s="25" t="n">
        <v>13</v>
      </c>
      <c r="H36" s="25" t="n">
        <v>2</v>
      </c>
      <c r="I36" s="25" t="n">
        <v>131</v>
      </c>
      <c r="J36" s="25" t="n">
        <v>4</v>
      </c>
      <c r="K36" s="25" t="n">
        <v>10</v>
      </c>
      <c r="L36" s="25" t="n">
        <v>25</v>
      </c>
      <c r="M36" s="26" t="n">
        <f aca="false">H36+J36</f>
        <v>6</v>
      </c>
      <c r="N36" s="26" t="n">
        <f aca="false">K36+M36</f>
        <v>16</v>
      </c>
      <c r="O36" s="25" t="n">
        <v>1</v>
      </c>
    </row>
    <row r="37" customFormat="false" ht="15" hidden="false" customHeight="false" outlineLevel="0" collapsed="false">
      <c r="A37" s="23" t="s">
        <v>225</v>
      </c>
      <c r="B37" s="23" t="s">
        <v>210</v>
      </c>
      <c r="C37" s="23" t="s">
        <v>188</v>
      </c>
      <c r="D37" s="24" t="s">
        <v>186</v>
      </c>
      <c r="E37" s="25" t="n">
        <v>181</v>
      </c>
      <c r="F37" s="25" t="n">
        <v>35</v>
      </c>
      <c r="G37" s="25" t="n">
        <v>15</v>
      </c>
      <c r="H37" s="25" t="n">
        <v>2</v>
      </c>
      <c r="I37" s="25" t="n">
        <v>131</v>
      </c>
      <c r="J37" s="25" t="n">
        <v>4</v>
      </c>
      <c r="K37" s="25" t="n">
        <v>10</v>
      </c>
      <c r="L37" s="25" t="n">
        <v>25</v>
      </c>
      <c r="M37" s="26" t="n">
        <f aca="false">H37+J37</f>
        <v>6</v>
      </c>
      <c r="N37" s="26" t="n">
        <f aca="false">K37+M37</f>
        <v>16</v>
      </c>
      <c r="O37" s="25" t="n">
        <v>1</v>
      </c>
    </row>
    <row r="38" customFormat="false" ht="15" hidden="false" customHeight="false" outlineLevel="0" collapsed="false">
      <c r="A38" s="23" t="s">
        <v>226</v>
      </c>
      <c r="B38" s="23" t="s">
        <v>210</v>
      </c>
      <c r="C38" s="23" t="s">
        <v>188</v>
      </c>
      <c r="D38" s="24" t="s">
        <v>186</v>
      </c>
      <c r="E38" s="25" t="n">
        <v>177</v>
      </c>
      <c r="F38" s="25" t="n">
        <v>35</v>
      </c>
      <c r="G38" s="25" t="n">
        <v>11</v>
      </c>
      <c r="H38" s="25" t="n">
        <v>2</v>
      </c>
      <c r="I38" s="25" t="n">
        <v>131</v>
      </c>
      <c r="J38" s="25" t="n">
        <v>4</v>
      </c>
      <c r="K38" s="25" t="n">
        <v>10</v>
      </c>
      <c r="L38" s="25" t="n">
        <v>25</v>
      </c>
      <c r="M38" s="26" t="n">
        <f aca="false">H38+J38</f>
        <v>6</v>
      </c>
      <c r="N38" s="26" t="n">
        <f aca="false">K38+M38</f>
        <v>16</v>
      </c>
      <c r="O38" s="25" t="n">
        <v>1</v>
      </c>
    </row>
    <row r="39" customFormat="false" ht="15" hidden="false" customHeight="false" outlineLevel="0" collapsed="false">
      <c r="A39" s="23" t="s">
        <v>227</v>
      </c>
      <c r="B39" s="23" t="s">
        <v>210</v>
      </c>
      <c r="C39" s="23" t="s">
        <v>188</v>
      </c>
      <c r="D39" s="24" t="s">
        <v>186</v>
      </c>
      <c r="E39" s="25" t="n">
        <v>181</v>
      </c>
      <c r="F39" s="25" t="n">
        <v>35</v>
      </c>
      <c r="G39" s="25" t="n">
        <v>15</v>
      </c>
      <c r="H39" s="25" t="n">
        <v>2</v>
      </c>
      <c r="I39" s="25" t="n">
        <v>131</v>
      </c>
      <c r="J39" s="25" t="n">
        <v>4</v>
      </c>
      <c r="K39" s="25" t="n">
        <v>10</v>
      </c>
      <c r="L39" s="25" t="n">
        <v>25</v>
      </c>
      <c r="M39" s="26" t="n">
        <f aca="false">H39+J39</f>
        <v>6</v>
      </c>
      <c r="N39" s="26" t="n">
        <f aca="false">K39+M39</f>
        <v>16</v>
      </c>
      <c r="O39" s="25" t="n">
        <v>1</v>
      </c>
    </row>
    <row r="40" customFormat="false" ht="15" hidden="false" customHeight="false" outlineLevel="0" collapsed="false">
      <c r="A40" s="23" t="s">
        <v>228</v>
      </c>
      <c r="B40" s="23" t="s">
        <v>210</v>
      </c>
      <c r="C40" s="23" t="s">
        <v>188</v>
      </c>
      <c r="D40" s="24" t="s">
        <v>186</v>
      </c>
      <c r="E40" s="25" t="n">
        <v>173</v>
      </c>
      <c r="F40" s="25" t="n">
        <v>35</v>
      </c>
      <c r="G40" s="25" t="n">
        <v>7</v>
      </c>
      <c r="H40" s="25" t="n">
        <v>2</v>
      </c>
      <c r="I40" s="25" t="n">
        <v>131</v>
      </c>
      <c r="J40" s="25" t="n">
        <v>4</v>
      </c>
      <c r="K40" s="25" t="n">
        <v>10</v>
      </c>
      <c r="L40" s="25" t="n">
        <v>25</v>
      </c>
      <c r="M40" s="26" t="n">
        <f aca="false">H40+J40</f>
        <v>6</v>
      </c>
      <c r="N40" s="26" t="n">
        <f aca="false">K40+M40</f>
        <v>16</v>
      </c>
      <c r="O40" s="25" t="n">
        <v>1</v>
      </c>
    </row>
    <row r="41" customFormat="false" ht="15" hidden="false" customHeight="false" outlineLevel="0" collapsed="false">
      <c r="A41" s="23" t="s">
        <v>229</v>
      </c>
      <c r="B41" s="23" t="s">
        <v>210</v>
      </c>
      <c r="C41" s="23" t="s">
        <v>185</v>
      </c>
      <c r="D41" s="24" t="s">
        <v>186</v>
      </c>
      <c r="E41" s="25" t="n">
        <v>181</v>
      </c>
      <c r="F41" s="25" t="n">
        <v>35</v>
      </c>
      <c r="G41" s="25" t="n">
        <v>15</v>
      </c>
      <c r="H41" s="25" t="n">
        <v>2</v>
      </c>
      <c r="I41" s="25" t="n">
        <v>131</v>
      </c>
      <c r="J41" s="25" t="n">
        <v>4</v>
      </c>
      <c r="K41" s="25" t="n">
        <v>10</v>
      </c>
      <c r="L41" s="25" t="n">
        <v>25</v>
      </c>
      <c r="M41" s="26" t="n">
        <f aca="false">H41+J41</f>
        <v>6</v>
      </c>
      <c r="N41" s="26" t="n">
        <f aca="false">K41+M41</f>
        <v>16</v>
      </c>
      <c r="O41" s="25" t="n">
        <v>1</v>
      </c>
    </row>
    <row r="43" customFormat="false" ht="15" hidden="false" customHeight="false" outlineLevel="0" collapsed="false">
      <c r="A43" s="27" t="s">
        <v>230</v>
      </c>
      <c r="D43" s="28" t="n">
        <f aca="false">COUNTA(A2:A41)</f>
        <v>40</v>
      </c>
      <c r="E43" s="29" t="n">
        <f aca="false">SUM(E2:E41)</f>
        <v>7981</v>
      </c>
      <c r="F43" s="29" t="n">
        <f aca="false">SUM(F2:F41)</f>
        <v>1280</v>
      </c>
      <c r="G43" s="29" t="n">
        <f aca="false">SUM(G2:G41)</f>
        <v>612</v>
      </c>
      <c r="H43" s="29" t="n">
        <f aca="false">SUM(H2:H41)</f>
        <v>80</v>
      </c>
      <c r="I43" s="29" t="n">
        <f aca="false">SUM(I2:I41)</f>
        <v>6089</v>
      </c>
      <c r="J43" s="29" t="n">
        <f aca="false">SUM(J2:J41)</f>
        <v>171</v>
      </c>
      <c r="K43" s="29" t="n">
        <f aca="false">SUM(K2:K41)</f>
        <v>400</v>
      </c>
      <c r="L43" s="29" t="n">
        <f aca="false">SUM(L2:L41)</f>
        <v>1026</v>
      </c>
      <c r="M43" s="29" t="n">
        <f aca="false">SUM(M2:M41)</f>
        <v>251</v>
      </c>
      <c r="N43" s="29" t="n">
        <f aca="false">SUM(N2:N41)</f>
        <v>651</v>
      </c>
      <c r="O43" s="29" t="n">
        <f aca="false">SUM(O2:O41)</f>
        <v>40</v>
      </c>
    </row>
    <row r="44" customFormat="false" ht="15" hidden="false" customHeight="false" outlineLevel="0" collapsed="false">
      <c r="A44" s="27" t="s">
        <v>231</v>
      </c>
      <c r="D44" s="28" t="n">
        <f aca="false">COUNTIF(D2:D41,"S")</f>
        <v>2</v>
      </c>
      <c r="E44" s="29" t="n">
        <f aca="false">SUMIF($D$2:$D$41,"S",E2:E41)</f>
        <v>382</v>
      </c>
      <c r="F44" s="29" t="n">
        <f aca="false">SUMIF($D$2:$D$41,"S",F2:F41)</f>
        <v>64</v>
      </c>
      <c r="G44" s="29" t="n">
        <f aca="false">SUMIF($D$2:$D$41,"S",G2:G41)</f>
        <v>31</v>
      </c>
      <c r="H44" s="29" t="n">
        <f aca="false">SUMIF($D$2:$D$41,"S",H2:H41)</f>
        <v>4</v>
      </c>
      <c r="I44" s="29" t="n">
        <f aca="false">SUMIF($D$2:$D$41,"S",I2:I41)</f>
        <v>287</v>
      </c>
      <c r="J44" s="29" t="n">
        <f aca="false">SUMIF($D$2:$D$41,"S",J2:J41)</f>
        <v>8</v>
      </c>
      <c r="K44" s="29" t="n">
        <f aca="false">SUMIF($D$2:$D$41,"S",K2:K41)</f>
        <v>20</v>
      </c>
      <c r="L44" s="29" t="n">
        <f aca="false">SUMIF($D$2:$D$41,"S",L2:L41)</f>
        <v>49</v>
      </c>
      <c r="M44" s="29" t="n">
        <f aca="false">SUMIF($D$2:$D$41,"S",M2:M41)</f>
        <v>12</v>
      </c>
      <c r="N44" s="29" t="n">
        <f aca="false">SUMIF($D$2:$D$41,"S",N2:N41)</f>
        <v>32</v>
      </c>
      <c r="O44" s="29" t="n">
        <f aca="false">SUMIF($D$2:$D$41,"S",O2:O41)</f>
        <v>2</v>
      </c>
    </row>
    <row r="46" customFormat="false" ht="15" hidden="false" customHeight="false" outlineLevel="0" collapsed="false">
      <c r="A46" s="6" t="s">
        <v>232</v>
      </c>
    </row>
    <row r="47" customFormat="false" ht="15" hidden="false" customHeight="false" outlineLevel="0" collapsed="false">
      <c r="A47" s="6" t="s">
        <v>233</v>
      </c>
    </row>
    <row r="48" customFormat="false" ht="15" hidden="false" customHeight="false" outlineLevel="0" collapsed="false">
      <c r="A48" s="6" t="s">
        <v>234</v>
      </c>
    </row>
  </sheetData>
  <dataValidations count="1">
    <dataValidation allowBlank="false" errorStyle="stop" operator="between" showDropDown="false" showErrorMessage="false" showInputMessage="false" sqref="D2:D41" type="list">
      <formula1>"S,N"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6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72"/>
    <col collapsed="false" customWidth="true" hidden="false" outlineLevel="0" max="7" min="7" style="0" width="12"/>
  </cols>
  <sheetData>
    <row r="1" customFormat="false" ht="31.5" hidden="false" customHeight="true" outlineLevel="0" collapsed="false">
      <c r="A1" s="7" t="s">
        <v>235</v>
      </c>
      <c r="B1" s="7" t="s">
        <v>236</v>
      </c>
      <c r="C1" s="7" t="s">
        <v>70</v>
      </c>
      <c r="D1" s="7" t="s">
        <v>237</v>
      </c>
      <c r="E1" s="7" t="s">
        <v>238</v>
      </c>
      <c r="F1" s="7" t="s">
        <v>239</v>
      </c>
      <c r="G1" s="7" t="s">
        <v>240</v>
      </c>
    </row>
    <row r="2" customFormat="false" ht="15" hidden="false" customHeight="false" outlineLevel="0" collapsed="false">
      <c r="A2" s="13" t="s">
        <v>241</v>
      </c>
      <c r="B2" s="9" t="s">
        <v>242</v>
      </c>
      <c r="C2" s="13" t="s">
        <v>161</v>
      </c>
      <c r="D2" s="30" t="n">
        <v>9.98</v>
      </c>
      <c r="E2" s="13"/>
      <c r="F2" s="9" t="s">
        <v>243</v>
      </c>
      <c r="G2" s="13" t="s">
        <v>244</v>
      </c>
    </row>
    <row r="3" customFormat="false" ht="15" hidden="false" customHeight="false" outlineLevel="0" collapsed="false">
      <c r="A3" s="13" t="s">
        <v>245</v>
      </c>
      <c r="B3" s="9" t="s">
        <v>246</v>
      </c>
      <c r="C3" s="13" t="s">
        <v>161</v>
      </c>
      <c r="D3" s="30" t="n">
        <v>20.17</v>
      </c>
      <c r="E3" s="13"/>
      <c r="F3" s="9" t="s">
        <v>247</v>
      </c>
      <c r="G3" s="13" t="s">
        <v>244</v>
      </c>
    </row>
    <row r="4" customFormat="false" ht="15" hidden="false" customHeight="false" outlineLevel="0" collapsed="false">
      <c r="A4" s="13" t="s">
        <v>248</v>
      </c>
      <c r="B4" s="9" t="s">
        <v>249</v>
      </c>
      <c r="C4" s="13" t="s">
        <v>161</v>
      </c>
      <c r="D4" s="30" t="n">
        <v>39.9</v>
      </c>
      <c r="E4" s="13"/>
      <c r="F4" s="9" t="s">
        <v>250</v>
      </c>
      <c r="G4" s="13" t="s">
        <v>244</v>
      </c>
    </row>
    <row r="5" customFormat="false" ht="15" hidden="false" customHeight="false" outlineLevel="0" collapsed="false">
      <c r="A5" s="13" t="s">
        <v>251</v>
      </c>
      <c r="B5" s="9" t="s">
        <v>252</v>
      </c>
      <c r="C5" s="13" t="s">
        <v>161</v>
      </c>
      <c r="D5" s="30" t="n">
        <v>8.9</v>
      </c>
      <c r="E5" s="13"/>
      <c r="F5" s="9" t="s">
        <v>253</v>
      </c>
      <c r="G5" s="13" t="s">
        <v>244</v>
      </c>
    </row>
    <row r="6" customFormat="false" ht="23.85" hidden="false" customHeight="false" outlineLevel="0" collapsed="false">
      <c r="A6" s="13" t="s">
        <v>254</v>
      </c>
      <c r="B6" s="9" t="s">
        <v>255</v>
      </c>
      <c r="C6" s="13" t="s">
        <v>161</v>
      </c>
      <c r="D6" s="31" t="n">
        <f aca="false">E6*Premissas!$B$2*Premissas!$B$3</f>
        <v>119.631125</v>
      </c>
      <c r="E6" s="32" t="n">
        <v>12.5</v>
      </c>
      <c r="F6" s="9" t="s">
        <v>256</v>
      </c>
      <c r="G6" s="13" t="s">
        <v>257</v>
      </c>
    </row>
    <row r="7" customFormat="false" ht="23.85" hidden="false" customHeight="false" outlineLevel="0" collapsed="false">
      <c r="A7" s="13" t="s">
        <v>258</v>
      </c>
      <c r="B7" s="9" t="s">
        <v>259</v>
      </c>
      <c r="C7" s="13" t="s">
        <v>161</v>
      </c>
      <c r="D7" s="30" t="n">
        <v>189.98</v>
      </c>
      <c r="E7" s="13"/>
      <c r="F7" s="9" t="s">
        <v>260</v>
      </c>
      <c r="G7" s="13" t="s">
        <v>244</v>
      </c>
    </row>
    <row r="8" customFormat="false" ht="15" hidden="false" customHeight="false" outlineLevel="0" collapsed="false">
      <c r="A8" s="13" t="s">
        <v>261</v>
      </c>
      <c r="B8" s="9" t="s">
        <v>262</v>
      </c>
      <c r="C8" s="13" t="s">
        <v>161</v>
      </c>
      <c r="D8" s="33" t="n">
        <v>185</v>
      </c>
      <c r="E8" s="13"/>
      <c r="F8" s="9" t="s">
        <v>263</v>
      </c>
      <c r="G8" s="34" t="s">
        <v>103</v>
      </c>
    </row>
    <row r="9" customFormat="false" ht="15" hidden="false" customHeight="false" outlineLevel="0" collapsed="false">
      <c r="A9" s="13" t="s">
        <v>264</v>
      </c>
      <c r="B9" s="9" t="s">
        <v>265</v>
      </c>
      <c r="C9" s="13" t="s">
        <v>161</v>
      </c>
      <c r="D9" s="33" t="n">
        <v>8</v>
      </c>
      <c r="E9" s="13"/>
      <c r="F9" s="9" t="s">
        <v>266</v>
      </c>
      <c r="G9" s="34" t="s">
        <v>103</v>
      </c>
    </row>
    <row r="10" customFormat="false" ht="23.85" hidden="false" customHeight="false" outlineLevel="0" collapsed="false">
      <c r="A10" s="13" t="s">
        <v>267</v>
      </c>
      <c r="B10" s="9" t="s">
        <v>268</v>
      </c>
      <c r="C10" s="13" t="s">
        <v>161</v>
      </c>
      <c r="D10" s="33" t="n">
        <v>18</v>
      </c>
      <c r="E10" s="13"/>
      <c r="F10" s="9" t="s">
        <v>269</v>
      </c>
      <c r="G10" s="34" t="s">
        <v>103</v>
      </c>
    </row>
    <row r="11" customFormat="false" ht="15" hidden="false" customHeight="false" outlineLevel="0" collapsed="false">
      <c r="A11" s="13" t="s">
        <v>270</v>
      </c>
      <c r="B11" s="9" t="s">
        <v>271</v>
      </c>
      <c r="C11" s="13" t="s">
        <v>161</v>
      </c>
      <c r="D11" s="33" t="n">
        <v>2.5</v>
      </c>
      <c r="E11" s="13"/>
      <c r="F11" s="9" t="s">
        <v>272</v>
      </c>
      <c r="G11" s="34" t="s">
        <v>103</v>
      </c>
    </row>
    <row r="12" customFormat="false" ht="15" hidden="false" customHeight="false" outlineLevel="0" collapsed="false">
      <c r="A12" s="13" t="s">
        <v>273</v>
      </c>
      <c r="B12" s="9" t="s">
        <v>274</v>
      </c>
      <c r="C12" s="13" t="s">
        <v>161</v>
      </c>
      <c r="D12" s="33" t="n">
        <v>0.8</v>
      </c>
      <c r="E12" s="13"/>
      <c r="F12" s="9" t="s">
        <v>275</v>
      </c>
      <c r="G12" s="34" t="s">
        <v>103</v>
      </c>
    </row>
    <row r="13" customFormat="false" ht="15" hidden="false" customHeight="false" outlineLevel="0" collapsed="false">
      <c r="A13" s="13" t="s">
        <v>276</v>
      </c>
      <c r="B13" s="9" t="s">
        <v>277</v>
      </c>
      <c r="C13" s="13" t="s">
        <v>133</v>
      </c>
      <c r="D13" s="31" t="n">
        <f aca="false">1229.41/305</f>
        <v>4.03085245901639</v>
      </c>
      <c r="E13" s="13"/>
      <c r="F13" s="9" t="s">
        <v>278</v>
      </c>
      <c r="G13" s="13" t="s">
        <v>244</v>
      </c>
    </row>
    <row r="14" customFormat="false" ht="23.85" hidden="false" customHeight="false" outlineLevel="0" collapsed="false">
      <c r="A14" s="13" t="s">
        <v>279</v>
      </c>
      <c r="B14" s="9" t="s">
        <v>280</v>
      </c>
      <c r="C14" s="13" t="s">
        <v>161</v>
      </c>
      <c r="D14" s="33" t="n">
        <v>5</v>
      </c>
      <c r="E14" s="13"/>
      <c r="F14" s="9" t="s">
        <v>103</v>
      </c>
      <c r="G14" s="34" t="s">
        <v>103</v>
      </c>
    </row>
    <row r="15" customFormat="false" ht="15" hidden="false" customHeight="false" outlineLevel="0" collapsed="false">
      <c r="A15" s="13" t="s">
        <v>281</v>
      </c>
      <c r="B15" s="9" t="s">
        <v>282</v>
      </c>
      <c r="C15" s="13" t="s">
        <v>161</v>
      </c>
      <c r="D15" s="33" t="n">
        <v>15</v>
      </c>
      <c r="E15" s="13"/>
      <c r="F15" s="9" t="s">
        <v>103</v>
      </c>
      <c r="G15" s="34" t="s">
        <v>103</v>
      </c>
    </row>
    <row r="16" customFormat="false" ht="15" hidden="false" customHeight="false" outlineLevel="0" collapsed="false">
      <c r="A16" s="13" t="s">
        <v>283</v>
      </c>
      <c r="B16" s="9" t="s">
        <v>284</v>
      </c>
      <c r="C16" s="13" t="s">
        <v>161</v>
      </c>
      <c r="D16" s="33" t="n">
        <v>10</v>
      </c>
      <c r="E16" s="13"/>
      <c r="F16" s="9" t="s">
        <v>103</v>
      </c>
      <c r="G16" s="34" t="s">
        <v>103</v>
      </c>
    </row>
    <row r="17" customFormat="false" ht="23.85" hidden="false" customHeight="false" outlineLevel="0" collapsed="false">
      <c r="A17" s="13" t="s">
        <v>285</v>
      </c>
      <c r="B17" s="9" t="s">
        <v>286</v>
      </c>
      <c r="C17" s="13" t="s">
        <v>161</v>
      </c>
      <c r="D17" s="33" t="n">
        <v>90</v>
      </c>
      <c r="E17" s="13"/>
      <c r="F17" s="9" t="s">
        <v>287</v>
      </c>
      <c r="G17" s="34" t="s">
        <v>103</v>
      </c>
    </row>
    <row r="18" customFormat="false" ht="15" hidden="false" customHeight="false" outlineLevel="0" collapsed="false">
      <c r="A18" s="13" t="s">
        <v>288</v>
      </c>
      <c r="B18" s="9" t="s">
        <v>289</v>
      </c>
      <c r="C18" s="13" t="s">
        <v>290</v>
      </c>
      <c r="D18" s="33" t="n">
        <v>45</v>
      </c>
      <c r="E18" s="13"/>
      <c r="F18" s="9" t="s">
        <v>272</v>
      </c>
      <c r="G18" s="34" t="s">
        <v>103</v>
      </c>
    </row>
    <row r="19" customFormat="false" ht="15" hidden="false" customHeight="false" outlineLevel="0" collapsed="false">
      <c r="A19" s="13" t="s">
        <v>291</v>
      </c>
      <c r="B19" s="9" t="s">
        <v>292</v>
      </c>
      <c r="C19" s="13" t="s">
        <v>133</v>
      </c>
      <c r="D19" s="33" t="n">
        <v>9</v>
      </c>
      <c r="E19" s="13"/>
      <c r="F19" s="9" t="s">
        <v>293</v>
      </c>
      <c r="G19" s="34" t="s">
        <v>103</v>
      </c>
    </row>
    <row r="20" customFormat="false" ht="23.85" hidden="false" customHeight="false" outlineLevel="0" collapsed="false">
      <c r="A20" s="13" t="s">
        <v>294</v>
      </c>
      <c r="B20" s="9" t="s">
        <v>295</v>
      </c>
      <c r="C20" s="13" t="s">
        <v>290</v>
      </c>
      <c r="D20" s="33" t="n">
        <v>40</v>
      </c>
      <c r="E20" s="13"/>
      <c r="F20" s="9" t="s">
        <v>103</v>
      </c>
      <c r="G20" s="34" t="s">
        <v>103</v>
      </c>
    </row>
    <row r="21" customFormat="false" ht="15" hidden="false" customHeight="false" outlineLevel="0" collapsed="false">
      <c r="A21" s="13" t="s">
        <v>296</v>
      </c>
      <c r="B21" s="9" t="s">
        <v>297</v>
      </c>
      <c r="C21" s="13" t="s">
        <v>161</v>
      </c>
      <c r="D21" s="30" t="n">
        <v>769.32</v>
      </c>
      <c r="E21" s="13"/>
      <c r="F21" s="9" t="s">
        <v>298</v>
      </c>
      <c r="G21" s="13" t="s">
        <v>244</v>
      </c>
    </row>
    <row r="22" customFormat="false" ht="15" hidden="false" customHeight="false" outlineLevel="0" collapsed="false">
      <c r="A22" s="13" t="s">
        <v>299</v>
      </c>
      <c r="B22" s="9" t="s">
        <v>300</v>
      </c>
      <c r="C22" s="13" t="s">
        <v>301</v>
      </c>
      <c r="D22" s="30" t="n">
        <v>0</v>
      </c>
      <c r="E22" s="13"/>
      <c r="F22" s="9" t="s">
        <v>302</v>
      </c>
      <c r="G22" s="13" t="s">
        <v>303</v>
      </c>
    </row>
    <row r="23" customFormat="false" ht="23.85" hidden="false" customHeight="false" outlineLevel="0" collapsed="false">
      <c r="A23" s="13" t="s">
        <v>304</v>
      </c>
      <c r="B23" s="9" t="s">
        <v>305</v>
      </c>
      <c r="C23" s="13" t="s">
        <v>161</v>
      </c>
      <c r="D23" s="30" t="n">
        <v>2.37</v>
      </c>
      <c r="E23" s="13"/>
      <c r="F23" s="9" t="s">
        <v>306</v>
      </c>
      <c r="G23" s="13" t="s">
        <v>244</v>
      </c>
    </row>
    <row r="24" customFormat="false" ht="15" hidden="false" customHeight="false" outlineLevel="0" collapsed="false">
      <c r="A24" s="13" t="s">
        <v>307</v>
      </c>
      <c r="B24" s="9" t="s">
        <v>308</v>
      </c>
      <c r="C24" s="13" t="s">
        <v>161</v>
      </c>
      <c r="D24" s="33" t="n">
        <v>0.5</v>
      </c>
      <c r="E24" s="13"/>
      <c r="F24" s="9" t="s">
        <v>103</v>
      </c>
      <c r="G24" s="34" t="s">
        <v>103</v>
      </c>
    </row>
    <row r="25" customFormat="false" ht="15" hidden="false" customHeight="false" outlineLevel="0" collapsed="false">
      <c r="A25" s="13" t="s">
        <v>309</v>
      </c>
      <c r="B25" s="9" t="s">
        <v>310</v>
      </c>
      <c r="C25" s="13" t="s">
        <v>161</v>
      </c>
      <c r="D25" s="30" t="n">
        <v>29.89</v>
      </c>
      <c r="E25" s="13"/>
      <c r="F25" s="9" t="s">
        <v>311</v>
      </c>
      <c r="G25" s="13" t="s">
        <v>244</v>
      </c>
    </row>
    <row r="26" customFormat="false" ht="15" hidden="false" customHeight="false" outlineLevel="0" collapsed="false">
      <c r="A26" s="13" t="s">
        <v>312</v>
      </c>
      <c r="B26" s="9" t="s">
        <v>313</v>
      </c>
      <c r="C26" s="13" t="s">
        <v>161</v>
      </c>
      <c r="D26" s="30" t="n">
        <v>42.65</v>
      </c>
      <c r="E26" s="13"/>
      <c r="F26" s="9" t="s">
        <v>314</v>
      </c>
      <c r="G26" s="13" t="s">
        <v>244</v>
      </c>
    </row>
    <row r="27" customFormat="false" ht="23.85" hidden="false" customHeight="false" outlineLevel="0" collapsed="false">
      <c r="A27" s="13" t="s">
        <v>315</v>
      </c>
      <c r="B27" s="9" t="s">
        <v>316</v>
      </c>
      <c r="C27" s="13" t="s">
        <v>290</v>
      </c>
      <c r="D27" s="33" t="n">
        <v>35</v>
      </c>
      <c r="E27" s="13"/>
      <c r="F27" s="9" t="s">
        <v>272</v>
      </c>
      <c r="G27" s="34" t="s">
        <v>103</v>
      </c>
    </row>
    <row r="28" customFormat="false" ht="15" hidden="false" customHeight="false" outlineLevel="0" collapsed="false">
      <c r="A28" s="13" t="s">
        <v>317</v>
      </c>
      <c r="B28" s="9" t="s">
        <v>318</v>
      </c>
      <c r="C28" s="13" t="s">
        <v>161</v>
      </c>
      <c r="D28" s="33" t="n">
        <v>20</v>
      </c>
      <c r="E28" s="13"/>
      <c r="F28" s="9" t="s">
        <v>103</v>
      </c>
      <c r="G28" s="34" t="s">
        <v>103</v>
      </c>
    </row>
    <row r="29" customFormat="false" ht="15" hidden="false" customHeight="false" outlineLevel="0" collapsed="false">
      <c r="A29" s="13" t="s">
        <v>319</v>
      </c>
      <c r="B29" s="9" t="s">
        <v>320</v>
      </c>
      <c r="C29" s="13" t="s">
        <v>161</v>
      </c>
      <c r="D29" s="31" t="n">
        <f aca="false">E29*Premissas!$B$2*Premissas!$B$3</f>
        <v>287.1147</v>
      </c>
      <c r="E29" s="32" t="n">
        <v>30</v>
      </c>
      <c r="F29" s="9" t="s">
        <v>321</v>
      </c>
      <c r="G29" s="13" t="s">
        <v>257</v>
      </c>
    </row>
    <row r="30" customFormat="false" ht="15" hidden="false" customHeight="false" outlineLevel="0" collapsed="false">
      <c r="A30" s="13" t="s">
        <v>322</v>
      </c>
      <c r="B30" s="9" t="s">
        <v>323</v>
      </c>
      <c r="C30" s="13" t="s">
        <v>161</v>
      </c>
      <c r="D30" s="31" t="n">
        <f aca="false">E30*Premissas!$B$2*Premissas!$B$3</f>
        <v>622.08185</v>
      </c>
      <c r="E30" s="35" t="n">
        <v>65</v>
      </c>
      <c r="F30" s="9" t="s">
        <v>324</v>
      </c>
      <c r="G30" s="34" t="s">
        <v>103</v>
      </c>
    </row>
    <row r="31" customFormat="false" ht="15" hidden="false" customHeight="false" outlineLevel="0" collapsed="false">
      <c r="A31" s="13" t="s">
        <v>325</v>
      </c>
      <c r="B31" s="9" t="s">
        <v>326</v>
      </c>
      <c r="C31" s="13" t="s">
        <v>161</v>
      </c>
      <c r="D31" s="31" t="n">
        <f aca="false">E31*Premissas!$B$2*Premissas!$B$3</f>
        <v>2105.5078</v>
      </c>
      <c r="E31" s="35" t="n">
        <v>220</v>
      </c>
      <c r="F31" s="9" t="s">
        <v>327</v>
      </c>
      <c r="G31" s="34" t="s">
        <v>103</v>
      </c>
    </row>
    <row r="32" customFormat="false" ht="23.85" hidden="false" customHeight="false" outlineLevel="0" collapsed="false">
      <c r="A32" s="13" t="s">
        <v>328</v>
      </c>
      <c r="B32" s="9" t="s">
        <v>329</v>
      </c>
      <c r="C32" s="13" t="s">
        <v>161</v>
      </c>
      <c r="D32" s="31" t="n">
        <f aca="false">E32*Premissas!$B$2*Premissas!$B$3</f>
        <v>86.13441</v>
      </c>
      <c r="E32" s="35" t="n">
        <v>9</v>
      </c>
      <c r="F32" s="9" t="s">
        <v>330</v>
      </c>
      <c r="G32" s="34" t="s">
        <v>103</v>
      </c>
    </row>
    <row r="33" customFormat="false" ht="15" hidden="false" customHeight="false" outlineLevel="0" collapsed="false">
      <c r="A33" s="13" t="s">
        <v>331</v>
      </c>
      <c r="B33" s="9" t="s">
        <v>332</v>
      </c>
      <c r="C33" s="13" t="s">
        <v>161</v>
      </c>
      <c r="D33" s="31" t="n">
        <f aca="false">E33*Premissas!$B$2*Premissas!$B$3</f>
        <v>210.55078</v>
      </c>
      <c r="E33" s="35" t="n">
        <v>22</v>
      </c>
      <c r="F33" s="9" t="s">
        <v>333</v>
      </c>
      <c r="G33" s="34" t="s">
        <v>103</v>
      </c>
    </row>
    <row r="34" customFormat="false" ht="23.85" hidden="false" customHeight="false" outlineLevel="0" collapsed="false">
      <c r="A34" s="13" t="s">
        <v>334</v>
      </c>
      <c r="B34" s="9" t="s">
        <v>335</v>
      </c>
      <c r="C34" s="13" t="s">
        <v>161</v>
      </c>
      <c r="D34" s="31" t="n">
        <f aca="false">E34*Premissas!$B$2*Premissas!$B$3</f>
        <v>334.96715</v>
      </c>
      <c r="E34" s="35" t="n">
        <v>35</v>
      </c>
      <c r="F34" s="9" t="s">
        <v>333</v>
      </c>
      <c r="G34" s="34" t="s">
        <v>103</v>
      </c>
    </row>
    <row r="35" customFormat="false" ht="15" hidden="false" customHeight="false" outlineLevel="0" collapsed="false">
      <c r="A35" s="13" t="s">
        <v>336</v>
      </c>
      <c r="B35" s="9" t="s">
        <v>337</v>
      </c>
      <c r="C35" s="13" t="s">
        <v>338</v>
      </c>
      <c r="D35" s="33" t="n">
        <v>15000</v>
      </c>
      <c r="E35" s="13"/>
      <c r="F35" s="9" t="s">
        <v>339</v>
      </c>
      <c r="G35" s="34" t="s">
        <v>103</v>
      </c>
    </row>
    <row r="36" customFormat="false" ht="23.85" hidden="false" customHeight="false" outlineLevel="0" collapsed="false">
      <c r="A36" s="13" t="s">
        <v>340</v>
      </c>
      <c r="B36" s="9" t="s">
        <v>341</v>
      </c>
      <c r="C36" s="13" t="s">
        <v>161</v>
      </c>
      <c r="D36" s="31" t="n">
        <f aca="false">E36*Premissas!$B$2*Premissas!$B$3</f>
        <v>9541.77853</v>
      </c>
      <c r="E36" s="32" t="n">
        <v>997</v>
      </c>
      <c r="F36" s="9" t="s">
        <v>342</v>
      </c>
      <c r="G36" s="13" t="s">
        <v>257</v>
      </c>
    </row>
    <row r="37" customFormat="false" ht="15" hidden="false" customHeight="false" outlineLevel="0" collapsed="false">
      <c r="A37" s="13" t="s">
        <v>343</v>
      </c>
      <c r="B37" s="9" t="s">
        <v>344</v>
      </c>
      <c r="C37" s="13" t="s">
        <v>133</v>
      </c>
      <c r="D37" s="31" t="n">
        <f aca="false">913.31/100</f>
        <v>9.1331</v>
      </c>
      <c r="E37" s="13"/>
      <c r="F37" s="9" t="s">
        <v>345</v>
      </c>
      <c r="G37" s="13" t="s">
        <v>244</v>
      </c>
    </row>
    <row r="38" customFormat="false" ht="15" hidden="false" customHeight="false" outlineLevel="0" collapsed="false">
      <c r="A38" s="13" t="s">
        <v>346</v>
      </c>
      <c r="B38" s="9" t="s">
        <v>347</v>
      </c>
      <c r="C38" s="13" t="s">
        <v>161</v>
      </c>
      <c r="D38" s="33" t="n">
        <v>12</v>
      </c>
      <c r="E38" s="13"/>
      <c r="F38" s="9" t="s">
        <v>272</v>
      </c>
      <c r="G38" s="34" t="s">
        <v>103</v>
      </c>
    </row>
    <row r="39" customFormat="false" ht="15" hidden="false" customHeight="false" outlineLevel="0" collapsed="false">
      <c r="A39" s="13" t="s">
        <v>348</v>
      </c>
      <c r="B39" s="9" t="s">
        <v>349</v>
      </c>
      <c r="C39" s="13" t="s">
        <v>161</v>
      </c>
      <c r="D39" s="33" t="n">
        <v>35</v>
      </c>
      <c r="E39" s="13"/>
      <c r="F39" s="9" t="s">
        <v>272</v>
      </c>
      <c r="G39" s="34" t="s">
        <v>103</v>
      </c>
    </row>
    <row r="40" customFormat="false" ht="23.85" hidden="false" customHeight="false" outlineLevel="0" collapsed="false">
      <c r="A40" s="13" t="s">
        <v>350</v>
      </c>
      <c r="B40" s="9" t="s">
        <v>351</v>
      </c>
      <c r="C40" s="13" t="s">
        <v>290</v>
      </c>
      <c r="D40" s="30" t="n">
        <v>285.99</v>
      </c>
      <c r="E40" s="13"/>
      <c r="F40" s="9" t="s">
        <v>352</v>
      </c>
      <c r="G40" s="13" t="s">
        <v>244</v>
      </c>
    </row>
    <row r="41" customFormat="false" ht="15" hidden="false" customHeight="false" outlineLevel="0" collapsed="false">
      <c r="A41" s="13" t="s">
        <v>353</v>
      </c>
      <c r="B41" s="9" t="s">
        <v>354</v>
      </c>
      <c r="C41" s="13" t="s">
        <v>290</v>
      </c>
      <c r="D41" s="33" t="n">
        <v>700</v>
      </c>
      <c r="E41" s="13"/>
      <c r="F41" s="9" t="s">
        <v>272</v>
      </c>
      <c r="G41" s="34" t="s">
        <v>103</v>
      </c>
    </row>
    <row r="42" customFormat="false" ht="15" hidden="false" customHeight="false" outlineLevel="0" collapsed="false">
      <c r="A42" s="13" t="s">
        <v>355</v>
      </c>
      <c r="B42" s="9" t="s">
        <v>356</v>
      </c>
      <c r="C42" s="13" t="s">
        <v>161</v>
      </c>
      <c r="D42" s="30" t="n">
        <v>368.1</v>
      </c>
      <c r="E42" s="13"/>
      <c r="F42" s="9" t="s">
        <v>357</v>
      </c>
      <c r="G42" s="13" t="s">
        <v>244</v>
      </c>
    </row>
    <row r="43" customFormat="false" ht="15" hidden="false" customHeight="false" outlineLevel="0" collapsed="false">
      <c r="A43" s="13" t="s">
        <v>358</v>
      </c>
      <c r="B43" s="9" t="s">
        <v>359</v>
      </c>
      <c r="C43" s="13" t="s">
        <v>290</v>
      </c>
      <c r="D43" s="33" t="n">
        <v>550</v>
      </c>
      <c r="E43" s="13"/>
      <c r="F43" s="9" t="s">
        <v>360</v>
      </c>
      <c r="G43" s="34" t="s">
        <v>103</v>
      </c>
    </row>
    <row r="44" customFormat="false" ht="15" hidden="false" customHeight="false" outlineLevel="0" collapsed="false">
      <c r="A44" s="13" t="s">
        <v>361</v>
      </c>
      <c r="B44" s="9" t="s">
        <v>362</v>
      </c>
      <c r="C44" s="13" t="s">
        <v>161</v>
      </c>
      <c r="D44" s="33" t="n">
        <v>35</v>
      </c>
      <c r="E44" s="13"/>
      <c r="F44" s="9" t="s">
        <v>272</v>
      </c>
      <c r="G44" s="34" t="s">
        <v>103</v>
      </c>
    </row>
    <row r="45" customFormat="false" ht="15" hidden="false" customHeight="false" outlineLevel="0" collapsed="false">
      <c r="A45" s="13" t="s">
        <v>363</v>
      </c>
      <c r="B45" s="9" t="s">
        <v>364</v>
      </c>
      <c r="C45" s="13" t="s">
        <v>161</v>
      </c>
      <c r="D45" s="33" t="n">
        <v>350</v>
      </c>
      <c r="E45" s="13"/>
      <c r="F45" s="9" t="s">
        <v>365</v>
      </c>
      <c r="G45" s="34" t="s">
        <v>103</v>
      </c>
    </row>
    <row r="46" customFormat="false" ht="23.85" hidden="false" customHeight="false" outlineLevel="0" collapsed="false">
      <c r="A46" s="13" t="s">
        <v>366</v>
      </c>
      <c r="B46" s="9" t="s">
        <v>367</v>
      </c>
      <c r="C46" s="13" t="s">
        <v>290</v>
      </c>
      <c r="D46" s="33" t="n">
        <v>150</v>
      </c>
      <c r="E46" s="13"/>
      <c r="F46" s="9" t="s">
        <v>272</v>
      </c>
      <c r="G46" s="34" t="s">
        <v>103</v>
      </c>
    </row>
    <row r="47" customFormat="false" ht="15" hidden="false" customHeight="false" outlineLevel="0" collapsed="false">
      <c r="A47" s="13" t="s">
        <v>368</v>
      </c>
      <c r="B47" s="9" t="s">
        <v>369</v>
      </c>
      <c r="C47" s="13" t="s">
        <v>161</v>
      </c>
      <c r="D47" s="33" t="n">
        <v>90</v>
      </c>
      <c r="E47" s="13"/>
      <c r="F47" s="9" t="s">
        <v>370</v>
      </c>
      <c r="G47" s="34" t="s">
        <v>103</v>
      </c>
    </row>
    <row r="48" customFormat="false" ht="23.85" hidden="false" customHeight="false" outlineLevel="0" collapsed="false">
      <c r="A48" s="13" t="s">
        <v>371</v>
      </c>
      <c r="B48" s="9" t="s">
        <v>372</v>
      </c>
      <c r="C48" s="13" t="s">
        <v>161</v>
      </c>
      <c r="D48" s="33" t="n">
        <v>45</v>
      </c>
      <c r="E48" s="13"/>
      <c r="F48" s="9" t="s">
        <v>272</v>
      </c>
      <c r="G48" s="34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6" min="5" style="0" width="15"/>
  </cols>
  <sheetData>
    <row r="1" customFormat="false" ht="31.5" hidden="false" customHeight="true" outlineLevel="0" collapsed="false">
      <c r="A1" s="7" t="s">
        <v>373</v>
      </c>
      <c r="B1" s="7" t="s">
        <v>235</v>
      </c>
      <c r="C1" s="7" t="s">
        <v>236</v>
      </c>
      <c r="D1" s="7" t="s">
        <v>374</v>
      </c>
      <c r="E1" s="7" t="s">
        <v>375</v>
      </c>
      <c r="F1" s="7" t="s">
        <v>376</v>
      </c>
    </row>
    <row r="2" customFormat="false" ht="15" hidden="false" customHeight="false" outlineLevel="0" collapsed="false">
      <c r="A2" s="13" t="s">
        <v>377</v>
      </c>
      <c r="B2" s="13" t="s">
        <v>241</v>
      </c>
      <c r="C2" s="36" t="str">
        <f aca="false">INDEX(Preços!$B:$B,MATCH(B2,Preços!$A:$A,0))</f>
        <v>Display 7 segmentos 4 dígitos TM1637 (usa 3 dígitos, quantidade)</v>
      </c>
      <c r="D2" s="18" t="n">
        <v>1</v>
      </c>
      <c r="E2" s="37" t="n">
        <f aca="false">INDEX(Preços!$D:$D,MATCH(B2,Preços!$A:$A,0))</f>
        <v>9.98</v>
      </c>
      <c r="F2" s="31" t="n">
        <f aca="false">D2*E2</f>
        <v>9.98</v>
      </c>
    </row>
    <row r="3" customFormat="false" ht="23.85" hidden="false" customHeight="false" outlineLevel="0" collapsed="false">
      <c r="A3" s="13" t="s">
        <v>377</v>
      </c>
      <c r="B3" s="13" t="s">
        <v>267</v>
      </c>
      <c r="C3" s="36" t="str">
        <f aca="false">INDEX(Preços!$B:$B,MATCH(B3,Preços!$A:$A,0))</f>
        <v>Botão de confirmação metálico 16 mm com anel de LED 12 V (momentâneo)</v>
      </c>
      <c r="D3" s="18" t="n">
        <v>1</v>
      </c>
      <c r="E3" s="37" t="n">
        <f aca="false">INDEX(Preços!$D:$D,MATCH(B3,Preços!$A:$A,0))</f>
        <v>18</v>
      </c>
      <c r="F3" s="31" t="n">
        <f aca="false">D3*E3</f>
        <v>18</v>
      </c>
    </row>
    <row r="4" customFormat="false" ht="15" hidden="false" customHeight="false" outlineLevel="0" collapsed="false">
      <c r="A4" s="13" t="s">
        <v>377</v>
      </c>
      <c r="B4" s="13" t="s">
        <v>279</v>
      </c>
      <c r="C4" s="36" t="str">
        <f aca="false">INDEX(Preços!$B:$B,MATCH(B4,Preços!$A:$A,0))</f>
        <v>Carcaça do Módulo Q (impressão 3D PETG ou caixa plástica pequena)</v>
      </c>
      <c r="D4" s="18" t="n">
        <v>1</v>
      </c>
      <c r="E4" s="37" t="n">
        <f aca="false">INDEX(Preços!$D:$D,MATCH(B4,Preços!$A:$A,0))</f>
        <v>5</v>
      </c>
      <c r="F4" s="31" t="n">
        <f aca="false">D4*E4</f>
        <v>5</v>
      </c>
    </row>
    <row r="5" customFormat="false" ht="15" hidden="false" customHeight="false" outlineLevel="0" collapsed="false">
      <c r="A5" s="13" t="s">
        <v>377</v>
      </c>
      <c r="B5" s="13" t="s">
        <v>270</v>
      </c>
      <c r="C5" s="36" t="str">
        <f aca="false">INDEX(Preços!$B:$B,MATCH(B5,Preços!$A:$A,0))</f>
        <v>Conector RJ45 fêmea para placa (jack)</v>
      </c>
      <c r="D5" s="18" t="n">
        <v>1</v>
      </c>
      <c r="E5" s="37" t="n">
        <f aca="false">INDEX(Preços!$D:$D,MATCH(B5,Preços!$A:$A,0))</f>
        <v>2.5</v>
      </c>
      <c r="F5" s="31" t="n">
        <f aca="false">D5*E5</f>
        <v>2.5</v>
      </c>
    </row>
    <row r="6" customFormat="false" ht="15" hidden="false" customHeight="false" outlineLevel="0" collapsed="false">
      <c r="A6" s="13" t="s">
        <v>377</v>
      </c>
      <c r="B6" s="13" t="s">
        <v>276</v>
      </c>
      <c r="C6" s="36" t="str">
        <f aca="false">INDEX(Preços!$B:$B,MATCH(B6,Preços!$A:$A,0))</f>
        <v>Cabo Cat5e (por metro)</v>
      </c>
      <c r="D6" s="18" t="n">
        <v>2</v>
      </c>
      <c r="E6" s="37" t="n">
        <f aca="false">INDEX(Preços!$D:$D,MATCH(B6,Preços!$A:$A,0))</f>
        <v>4.03085245901639</v>
      </c>
      <c r="F6" s="31" t="n">
        <f aca="false">D6*E6</f>
        <v>8.06170491803279</v>
      </c>
    </row>
    <row r="7" customFormat="false" ht="15" hidden="false" customHeight="false" outlineLevel="0" collapsed="false">
      <c r="A7" s="13" t="s">
        <v>377</v>
      </c>
      <c r="B7" s="13" t="s">
        <v>273</v>
      </c>
      <c r="C7" s="36" t="str">
        <f aca="false">INDEX(Preços!$B:$B,MATCH(B7,Preços!$A:$A,0))</f>
        <v>Plug RJ45 Cat5e (macho)</v>
      </c>
      <c r="D7" s="18" t="n">
        <v>2</v>
      </c>
      <c r="E7" s="37" t="n">
        <f aca="false">INDEX(Preços!$D:$D,MATCH(B7,Preços!$A:$A,0))</f>
        <v>0.8</v>
      </c>
      <c r="F7" s="31" t="n">
        <f aca="false">D7*E7</f>
        <v>1.6</v>
      </c>
    </row>
    <row r="8" customFormat="false" ht="15" hidden="false" customHeight="false" outlineLevel="0" collapsed="false">
      <c r="A8" s="14" t="s">
        <v>378</v>
      </c>
      <c r="B8" s="16"/>
      <c r="C8" s="16"/>
      <c r="D8" s="16"/>
      <c r="E8" s="16"/>
      <c r="F8" s="38" t="n">
        <f aca="false">SUM(F2:F7)</f>
        <v>45.1417049180328</v>
      </c>
    </row>
    <row r="10" customFormat="false" ht="15" hidden="false" customHeight="false" outlineLevel="0" collapsed="false">
      <c r="A10" s="13" t="s">
        <v>379</v>
      </c>
      <c r="B10" s="13" t="s">
        <v>248</v>
      </c>
      <c r="C10" s="36" t="str">
        <f aca="false">INDEX(Preços!$B:$B,MATCH(B10,Preços!$A:$A,0))</f>
        <v>Microcontrolador Raspberry Pi Pico (RP2040)</v>
      </c>
      <c r="D10" s="18" t="n">
        <v>1</v>
      </c>
      <c r="E10" s="37" t="n">
        <f aca="false">INDEX(Preços!$D:$D,MATCH(B10,Preços!$A:$A,0))</f>
        <v>39.9</v>
      </c>
      <c r="F10" s="31" t="n">
        <f aca="false">D10*E10</f>
        <v>39.9</v>
      </c>
    </row>
    <row r="11" customFormat="false" ht="15" hidden="false" customHeight="false" outlineLevel="0" collapsed="false">
      <c r="A11" s="13" t="s">
        <v>379</v>
      </c>
      <c r="B11" s="13" t="s">
        <v>251</v>
      </c>
      <c r="C11" s="36" t="str">
        <f aca="false">INDEX(Preços!$B:$B,MATCH(B11,Preços!$A:$A,0))</f>
        <v>Módulo transceptor RS-485 (MAX485)</v>
      </c>
      <c r="D11" s="18" t="n">
        <v>1</v>
      </c>
      <c r="E11" s="37" t="n">
        <f aca="false">INDEX(Preços!$D:$D,MATCH(B11,Preços!$A:$A,0))</f>
        <v>8.9</v>
      </c>
      <c r="F11" s="31" t="n">
        <f aca="false">D11*E11</f>
        <v>8.9</v>
      </c>
    </row>
    <row r="12" customFormat="false" ht="15" hidden="false" customHeight="false" outlineLevel="0" collapsed="false">
      <c r="A12" s="13" t="s">
        <v>379</v>
      </c>
      <c r="B12" s="13" t="s">
        <v>264</v>
      </c>
      <c r="C12" s="36" t="str">
        <f aca="false">INDEX(Preços!$B:$B,MATCH(B12,Preços!$A:$A,0))</f>
        <v>Regulador step-down 12 V → 5 V (mini, 3 A)</v>
      </c>
      <c r="D12" s="18" t="n">
        <v>1</v>
      </c>
      <c r="E12" s="37" t="n">
        <f aca="false">INDEX(Preços!$D:$D,MATCH(B12,Preços!$A:$A,0))</f>
        <v>8</v>
      </c>
      <c r="F12" s="31" t="n">
        <f aca="false">D12*E12</f>
        <v>8</v>
      </c>
    </row>
    <row r="13" customFormat="false" ht="15" hidden="false" customHeight="false" outlineLevel="0" collapsed="false">
      <c r="A13" s="13" t="s">
        <v>379</v>
      </c>
      <c r="B13" s="13" t="s">
        <v>283</v>
      </c>
      <c r="C13" s="36" t="str">
        <f aca="false">INDEX(Preços!$B:$B,MATCH(B13,Preços!$A:$A,0))</f>
        <v>Placa base universal + bornes (nó / módulo E+Q)</v>
      </c>
      <c r="D13" s="18" t="n">
        <v>1</v>
      </c>
      <c r="E13" s="37" t="n">
        <f aca="false">INDEX(Preços!$D:$D,MATCH(B13,Preços!$A:$A,0))</f>
        <v>10</v>
      </c>
      <c r="F13" s="31" t="n">
        <f aca="false">D13*E13</f>
        <v>10</v>
      </c>
    </row>
    <row r="14" customFormat="false" ht="15" hidden="false" customHeight="false" outlineLevel="0" collapsed="false">
      <c r="A14" s="13" t="s">
        <v>379</v>
      </c>
      <c r="B14" s="13" t="s">
        <v>270</v>
      </c>
      <c r="C14" s="36" t="str">
        <f aca="false">INDEX(Preços!$B:$B,MATCH(B14,Preços!$A:$A,0))</f>
        <v>Conector RJ45 fêmea para placa (jack)</v>
      </c>
      <c r="D14" s="18" t="n">
        <v>6</v>
      </c>
      <c r="E14" s="37" t="n">
        <f aca="false">INDEX(Preços!$D:$D,MATCH(B14,Preços!$A:$A,0))</f>
        <v>2.5</v>
      </c>
      <c r="F14" s="31" t="n">
        <f aca="false">D14*E14</f>
        <v>15</v>
      </c>
    </row>
    <row r="15" customFormat="false" ht="15" hidden="false" customHeight="false" outlineLevel="0" collapsed="false">
      <c r="A15" s="13" t="s">
        <v>379</v>
      </c>
      <c r="B15" s="13" t="s">
        <v>281</v>
      </c>
      <c r="C15" s="36" t="str">
        <f aca="false">INDEX(Preços!$B:$B,MATCH(B15,Preços!$A:$A,0))</f>
        <v>Carcaça do Módulo E+Q / Nó de coluna</v>
      </c>
      <c r="D15" s="18" t="n">
        <v>1</v>
      </c>
      <c r="E15" s="37" t="n">
        <f aca="false">INDEX(Preços!$D:$D,MATCH(B15,Preços!$A:$A,0))</f>
        <v>15</v>
      </c>
      <c r="F15" s="31" t="n">
        <f aca="false">D15*E15</f>
        <v>15</v>
      </c>
    </row>
    <row r="16" customFormat="false" ht="15" hidden="false" customHeight="false" outlineLevel="0" collapsed="false">
      <c r="A16" s="14" t="s">
        <v>380</v>
      </c>
      <c r="B16" s="16"/>
      <c r="C16" s="16"/>
      <c r="D16" s="16"/>
      <c r="E16" s="16"/>
      <c r="F16" s="38" t="n">
        <f aca="false">SUM(F10:F15)</f>
        <v>96.8</v>
      </c>
    </row>
    <row r="18" customFormat="false" ht="15" hidden="false" customHeight="false" outlineLevel="0" collapsed="false">
      <c r="A18" s="13" t="s">
        <v>381</v>
      </c>
      <c r="B18" s="13" t="s">
        <v>245</v>
      </c>
      <c r="C18" s="36" t="str">
        <f aca="false">INDEX(Preços!$B:$B,MATCH(B18,Preços!$A:$A,0))</f>
        <v>Display 7 segmentos 8 dígitos MAX7219 (endereço)</v>
      </c>
      <c r="D18" s="18" t="n">
        <v>1</v>
      </c>
      <c r="E18" s="37" t="n">
        <f aca="false">INDEX(Preços!$D:$D,MATCH(B18,Preços!$A:$A,0))</f>
        <v>20.17</v>
      </c>
      <c r="F18" s="31" t="n">
        <f aca="false">D18*E18</f>
        <v>20.17</v>
      </c>
    </row>
    <row r="19" customFormat="false" ht="15" hidden="false" customHeight="false" outlineLevel="0" collapsed="false">
      <c r="A19" s="13" t="s">
        <v>381</v>
      </c>
      <c r="B19" s="13" t="s">
        <v>241</v>
      </c>
      <c r="C19" s="36" t="str">
        <f aca="false">INDEX(Preços!$B:$B,MATCH(B19,Preços!$A:$A,0))</f>
        <v>Display 7 segmentos 4 dígitos TM1637 (usa 3 dígitos, quantidade)</v>
      </c>
      <c r="D19" s="18" t="n">
        <v>1</v>
      </c>
      <c r="E19" s="37" t="n">
        <f aca="false">INDEX(Preços!$D:$D,MATCH(B19,Preços!$A:$A,0))</f>
        <v>9.98</v>
      </c>
      <c r="F19" s="31" t="n">
        <f aca="false">D19*E19</f>
        <v>9.98</v>
      </c>
    </row>
    <row r="20" customFormat="false" ht="15" hidden="false" customHeight="false" outlineLevel="0" collapsed="false">
      <c r="A20" s="13" t="s">
        <v>381</v>
      </c>
      <c r="B20" s="13" t="s">
        <v>248</v>
      </c>
      <c r="C20" s="36" t="str">
        <f aca="false">INDEX(Preços!$B:$B,MATCH(B20,Preços!$A:$A,0))</f>
        <v>Microcontrolador Raspberry Pi Pico (RP2040)</v>
      </c>
      <c r="D20" s="18" t="n">
        <v>1</v>
      </c>
      <c r="E20" s="37" t="n">
        <f aca="false">INDEX(Preços!$D:$D,MATCH(B20,Preços!$A:$A,0))</f>
        <v>39.9</v>
      </c>
      <c r="F20" s="31" t="n">
        <f aca="false">D20*E20</f>
        <v>39.9</v>
      </c>
    </row>
    <row r="21" customFormat="false" ht="15" hidden="false" customHeight="false" outlineLevel="0" collapsed="false">
      <c r="A21" s="13" t="s">
        <v>381</v>
      </c>
      <c r="B21" s="13" t="s">
        <v>251</v>
      </c>
      <c r="C21" s="36" t="str">
        <f aca="false">INDEX(Preços!$B:$B,MATCH(B21,Preços!$A:$A,0))</f>
        <v>Módulo transceptor RS-485 (MAX485)</v>
      </c>
      <c r="D21" s="18" t="n">
        <v>1</v>
      </c>
      <c r="E21" s="37" t="n">
        <f aca="false">INDEX(Preços!$D:$D,MATCH(B21,Preços!$A:$A,0))</f>
        <v>8.9</v>
      </c>
      <c r="F21" s="31" t="n">
        <f aca="false">D21*E21</f>
        <v>8.9</v>
      </c>
    </row>
    <row r="22" customFormat="false" ht="15" hidden="false" customHeight="false" outlineLevel="0" collapsed="false">
      <c r="A22" s="13" t="s">
        <v>381</v>
      </c>
      <c r="B22" s="13" t="s">
        <v>264</v>
      </c>
      <c r="C22" s="36" t="str">
        <f aca="false">INDEX(Preços!$B:$B,MATCH(B22,Preços!$A:$A,0))</f>
        <v>Regulador step-down 12 V → 5 V (mini, 3 A)</v>
      </c>
      <c r="D22" s="18" t="n">
        <v>1</v>
      </c>
      <c r="E22" s="37" t="n">
        <f aca="false">INDEX(Preços!$D:$D,MATCH(B22,Preços!$A:$A,0))</f>
        <v>8</v>
      </c>
      <c r="F22" s="31" t="n">
        <f aca="false">D22*E22</f>
        <v>8</v>
      </c>
    </row>
    <row r="23" customFormat="false" ht="23.85" hidden="false" customHeight="false" outlineLevel="0" collapsed="false">
      <c r="A23" s="13" t="s">
        <v>381</v>
      </c>
      <c r="B23" s="13" t="s">
        <v>267</v>
      </c>
      <c r="C23" s="36" t="str">
        <f aca="false">INDEX(Preços!$B:$B,MATCH(B23,Preços!$A:$A,0))</f>
        <v>Botão de confirmação metálico 16 mm com anel de LED 12 V (momentâneo)</v>
      </c>
      <c r="D23" s="18" t="n">
        <v>1</v>
      </c>
      <c r="E23" s="37" t="n">
        <f aca="false">INDEX(Preços!$D:$D,MATCH(B23,Preços!$A:$A,0))</f>
        <v>18</v>
      </c>
      <c r="F23" s="31" t="n">
        <f aca="false">D23*E23</f>
        <v>18</v>
      </c>
    </row>
    <row r="24" customFormat="false" ht="15" hidden="false" customHeight="false" outlineLevel="0" collapsed="false">
      <c r="A24" s="13" t="s">
        <v>381</v>
      </c>
      <c r="B24" s="13" t="s">
        <v>270</v>
      </c>
      <c r="C24" s="36" t="str">
        <f aca="false">INDEX(Preços!$B:$B,MATCH(B24,Preços!$A:$A,0))</f>
        <v>Conector RJ45 fêmea para placa (jack)</v>
      </c>
      <c r="D24" s="18" t="n">
        <v>2</v>
      </c>
      <c r="E24" s="37" t="n">
        <f aca="false">INDEX(Preços!$D:$D,MATCH(B24,Preços!$A:$A,0))</f>
        <v>2.5</v>
      </c>
      <c r="F24" s="31" t="n">
        <f aca="false">D24*E24</f>
        <v>5</v>
      </c>
    </row>
    <row r="25" customFormat="false" ht="15" hidden="false" customHeight="false" outlineLevel="0" collapsed="false">
      <c r="A25" s="13" t="s">
        <v>381</v>
      </c>
      <c r="B25" s="13" t="s">
        <v>281</v>
      </c>
      <c r="C25" s="36" t="str">
        <f aca="false">INDEX(Preços!$B:$B,MATCH(B25,Preços!$A:$A,0))</f>
        <v>Carcaça do Módulo E+Q / Nó de coluna</v>
      </c>
      <c r="D25" s="18" t="n">
        <v>1</v>
      </c>
      <c r="E25" s="37" t="n">
        <f aca="false">INDEX(Preços!$D:$D,MATCH(B25,Preços!$A:$A,0))</f>
        <v>15</v>
      </c>
      <c r="F25" s="31" t="n">
        <f aca="false">D25*E25</f>
        <v>15</v>
      </c>
    </row>
    <row r="26" customFormat="false" ht="15" hidden="false" customHeight="false" outlineLevel="0" collapsed="false">
      <c r="A26" s="13" t="s">
        <v>381</v>
      </c>
      <c r="B26" s="13" t="s">
        <v>283</v>
      </c>
      <c r="C26" s="36" t="str">
        <f aca="false">INDEX(Preços!$B:$B,MATCH(B26,Preços!$A:$A,0))</f>
        <v>Placa base universal + bornes (nó / módulo E+Q)</v>
      </c>
      <c r="D26" s="18" t="n">
        <v>1</v>
      </c>
      <c r="E26" s="37" t="n">
        <f aca="false">INDEX(Preços!$D:$D,MATCH(B26,Preços!$A:$A,0))</f>
        <v>10</v>
      </c>
      <c r="F26" s="31" t="n">
        <f aca="false">D26*E26</f>
        <v>10</v>
      </c>
    </row>
    <row r="27" customFormat="false" ht="15" hidden="false" customHeight="false" outlineLevel="0" collapsed="false">
      <c r="A27" s="14" t="s">
        <v>382</v>
      </c>
      <c r="B27" s="16"/>
      <c r="C27" s="16"/>
      <c r="D27" s="16"/>
      <c r="E27" s="16"/>
      <c r="F27" s="38" t="n">
        <f aca="false">SUM(F18:F26)</f>
        <v>134.95</v>
      </c>
    </row>
    <row r="29" customFormat="false" ht="15" hidden="false" customHeight="false" outlineLevel="0" collapsed="false">
      <c r="A29" s="13" t="s">
        <v>383</v>
      </c>
      <c r="B29" s="13" t="s">
        <v>254</v>
      </c>
      <c r="C29" s="36" t="str">
        <f aca="false">INDEX(Preços!$B:$B,MATCH(B29,Preços!$A:$A,0))</f>
        <v>Placa do concentrador RP2040 + Ethernet W5500 (W5500-EVB-Pico)</v>
      </c>
      <c r="D29" s="18" t="n">
        <v>1</v>
      </c>
      <c r="E29" s="37" t="n">
        <f aca="false">INDEX(Preços!$D:$D,MATCH(B29,Preços!$A:$A,0))</f>
        <v>119.631125</v>
      </c>
      <c r="F29" s="31" t="n">
        <f aca="false">D29*E29</f>
        <v>119.631125</v>
      </c>
    </row>
    <row r="30" customFormat="false" ht="15" hidden="false" customHeight="false" outlineLevel="0" collapsed="false">
      <c r="A30" s="13" t="s">
        <v>383</v>
      </c>
      <c r="B30" s="13" t="s">
        <v>251</v>
      </c>
      <c r="C30" s="36" t="str">
        <f aca="false">INDEX(Preços!$B:$B,MATCH(B30,Preços!$A:$A,0))</f>
        <v>Módulo transceptor RS-485 (MAX485)</v>
      </c>
      <c r="D30" s="18" t="n">
        <v>2</v>
      </c>
      <c r="E30" s="37" t="n">
        <f aca="false">INDEX(Preços!$D:$D,MATCH(B30,Preços!$A:$A,0))</f>
        <v>8.9</v>
      </c>
      <c r="F30" s="31" t="n">
        <f aca="false">D30*E30</f>
        <v>17.8</v>
      </c>
    </row>
    <row r="31" customFormat="false" ht="15" hidden="false" customHeight="false" outlineLevel="0" collapsed="false">
      <c r="A31" s="13" t="s">
        <v>383</v>
      </c>
      <c r="B31" s="13" t="s">
        <v>258</v>
      </c>
      <c r="C31" s="36" t="str">
        <f aca="false">INDEX(Preços!$B:$B,MATCH(B31,Preços!$A:$A,0))</f>
        <v>Fonte Mean Well LRS-150-12 (12 V / 12,5 A / 150 W)</v>
      </c>
      <c r="D31" s="18" t="n">
        <v>1</v>
      </c>
      <c r="E31" s="37" t="n">
        <f aca="false">INDEX(Preços!$D:$D,MATCH(B31,Preços!$A:$A,0))</f>
        <v>189.98</v>
      </c>
      <c r="F31" s="31" t="n">
        <f aca="false">D31*E31</f>
        <v>189.98</v>
      </c>
    </row>
    <row r="32" customFormat="false" ht="15" hidden="false" customHeight="false" outlineLevel="0" collapsed="false">
      <c r="A32" s="13" t="s">
        <v>383</v>
      </c>
      <c r="B32" s="13" t="s">
        <v>264</v>
      </c>
      <c r="C32" s="36" t="str">
        <f aca="false">INDEX(Preços!$B:$B,MATCH(B32,Preços!$A:$A,0))</f>
        <v>Regulador step-down 12 V → 5 V (mini, 3 A)</v>
      </c>
      <c r="D32" s="18" t="n">
        <v>1</v>
      </c>
      <c r="E32" s="37" t="n">
        <f aca="false">INDEX(Preços!$D:$D,MATCH(B32,Preços!$A:$A,0))</f>
        <v>8</v>
      </c>
      <c r="F32" s="31" t="n">
        <f aca="false">D32*E32</f>
        <v>8</v>
      </c>
    </row>
    <row r="33" customFormat="false" ht="23.85" hidden="false" customHeight="false" outlineLevel="0" collapsed="false">
      <c r="A33" s="13" t="s">
        <v>383</v>
      </c>
      <c r="B33" s="13" t="s">
        <v>285</v>
      </c>
      <c r="C33" s="36" t="str">
        <f aca="false">INDEX(Preços!$B:$B,MATCH(B33,Preços!$A:$A,0))</f>
        <v>Gabinete do concentrador ventilado (caixa IP54 + cooler 40 mm 12 V + filtro)</v>
      </c>
      <c r="D33" s="18" t="n">
        <v>1</v>
      </c>
      <c r="E33" s="37" t="n">
        <f aca="false">INDEX(Preços!$D:$D,MATCH(B33,Preços!$A:$A,0))</f>
        <v>90</v>
      </c>
      <c r="F33" s="31" t="n">
        <f aca="false">D33*E33</f>
        <v>90</v>
      </c>
    </row>
    <row r="34" customFormat="false" ht="15" hidden="false" customHeight="false" outlineLevel="0" collapsed="false">
      <c r="A34" s="13" t="s">
        <v>383</v>
      </c>
      <c r="B34" s="13" t="s">
        <v>288</v>
      </c>
      <c r="C34" s="36" t="str">
        <f aca="false">INDEX(Preços!$B:$B,MATCH(B34,Preços!$A:$A,0))</f>
        <v>Trilho DIN + bornes + disjuntor 2 A</v>
      </c>
      <c r="D34" s="18" t="n">
        <v>1</v>
      </c>
      <c r="E34" s="37" t="n">
        <f aca="false">INDEX(Preços!$D:$D,MATCH(B34,Preços!$A:$A,0))</f>
        <v>45</v>
      </c>
      <c r="F34" s="31" t="n">
        <f aca="false">D34*E34</f>
        <v>45</v>
      </c>
    </row>
    <row r="35" customFormat="false" ht="15" hidden="false" customHeight="false" outlineLevel="0" collapsed="false">
      <c r="A35" s="13" t="s">
        <v>383</v>
      </c>
      <c r="B35" s="13" t="s">
        <v>270</v>
      </c>
      <c r="C35" s="36" t="str">
        <f aca="false">INDEX(Preços!$B:$B,MATCH(B35,Preços!$A:$A,0))</f>
        <v>Conector RJ45 fêmea para placa (jack)</v>
      </c>
      <c r="D35" s="18" t="n">
        <v>2</v>
      </c>
      <c r="E35" s="37" t="n">
        <f aca="false">INDEX(Preços!$D:$D,MATCH(B35,Preços!$A:$A,0))</f>
        <v>2.5</v>
      </c>
      <c r="F35" s="31" t="n">
        <f aca="false">D35*E35</f>
        <v>5</v>
      </c>
    </row>
    <row r="36" customFormat="false" ht="15" hidden="false" customHeight="false" outlineLevel="0" collapsed="false">
      <c r="A36" s="13" t="s">
        <v>383</v>
      </c>
      <c r="B36" s="13" t="s">
        <v>343</v>
      </c>
      <c r="C36" s="36" t="str">
        <f aca="false">INDEX(Preços!$B:$B,MATCH(B36,Preços!$A:$A,0))</f>
        <v>Cabo PP 3×1,0 mm² (por metro)</v>
      </c>
      <c r="D36" s="18" t="n">
        <v>3</v>
      </c>
      <c r="E36" s="37" t="n">
        <f aca="false">INDEX(Preços!$D:$D,MATCH(B36,Preços!$A:$A,0))</f>
        <v>9.1331</v>
      </c>
      <c r="F36" s="31" t="n">
        <f aca="false">D36*E36</f>
        <v>27.3993</v>
      </c>
    </row>
    <row r="37" customFormat="false" ht="15" hidden="false" customHeight="false" outlineLevel="0" collapsed="false">
      <c r="A37" s="13" t="s">
        <v>383</v>
      </c>
      <c r="B37" s="13" t="s">
        <v>346</v>
      </c>
      <c r="C37" s="36" t="str">
        <f aca="false">INDEX(Preços!$B:$B,MATCH(B37,Preços!$A:$A,0))</f>
        <v>Plugue 2P+T 10 A + prensa-cabo</v>
      </c>
      <c r="D37" s="18" t="n">
        <v>1</v>
      </c>
      <c r="E37" s="37" t="n">
        <f aca="false">INDEX(Preços!$D:$D,MATCH(B37,Preços!$A:$A,0))</f>
        <v>12</v>
      </c>
      <c r="F37" s="31" t="n">
        <f aca="false">D37*E37</f>
        <v>12</v>
      </c>
    </row>
    <row r="38" customFormat="false" ht="15" hidden="false" customHeight="false" outlineLevel="0" collapsed="false">
      <c r="A38" s="13" t="s">
        <v>383</v>
      </c>
      <c r="B38" s="13" t="s">
        <v>348</v>
      </c>
      <c r="C38" s="36" t="str">
        <f aca="false">INDEX(Preços!$B:$B,MATCH(B38,Preços!$A:$A,0))</f>
        <v>DPS / protetor de surto 275 V para o concentrador</v>
      </c>
      <c r="D38" s="18" t="n">
        <v>1</v>
      </c>
      <c r="E38" s="37" t="n">
        <f aca="false">INDEX(Preços!$D:$D,MATCH(B38,Preços!$A:$A,0))</f>
        <v>35</v>
      </c>
      <c r="F38" s="31" t="n">
        <f aca="false">D38*E38</f>
        <v>35</v>
      </c>
    </row>
    <row r="39" customFormat="false" ht="15" hidden="false" customHeight="false" outlineLevel="0" collapsed="false">
      <c r="A39" s="14" t="s">
        <v>384</v>
      </c>
      <c r="B39" s="16"/>
      <c r="C39" s="16"/>
      <c r="D39" s="16"/>
      <c r="E39" s="16"/>
      <c r="F39" s="38" t="n">
        <f aca="false">SUM(F29:F38)</f>
        <v>549.810425</v>
      </c>
    </row>
    <row r="41" customFormat="false" ht="15" hidden="false" customHeight="false" outlineLevel="0" collapsed="false">
      <c r="A41" s="13" t="s">
        <v>385</v>
      </c>
      <c r="B41" s="13" t="s">
        <v>254</v>
      </c>
      <c r="C41" s="36" t="str">
        <f aca="false">INDEX(Preços!$B:$B,MATCH(B41,Preços!$A:$A,0))</f>
        <v>Placa do concentrador RP2040 + Ethernet W5500 (W5500-EVB-Pico)</v>
      </c>
      <c r="D41" s="18" t="n">
        <v>1</v>
      </c>
      <c r="E41" s="37" t="n">
        <f aca="false">INDEX(Preços!$D:$D,MATCH(B41,Preços!$A:$A,0))</f>
        <v>119.631125</v>
      </c>
      <c r="F41" s="31" t="n">
        <f aca="false">D41*E41</f>
        <v>119.631125</v>
      </c>
    </row>
    <row r="42" customFormat="false" ht="15" hidden="false" customHeight="false" outlineLevel="0" collapsed="false">
      <c r="A42" s="13" t="s">
        <v>385</v>
      </c>
      <c r="B42" s="13" t="s">
        <v>251</v>
      </c>
      <c r="C42" s="36" t="str">
        <f aca="false">INDEX(Preços!$B:$B,MATCH(B42,Preços!$A:$A,0))</f>
        <v>Módulo transceptor RS-485 (MAX485)</v>
      </c>
      <c r="D42" s="18" t="n">
        <v>2</v>
      </c>
      <c r="E42" s="37" t="n">
        <f aca="false">INDEX(Preços!$D:$D,MATCH(B42,Preços!$A:$A,0))</f>
        <v>8.9</v>
      </c>
      <c r="F42" s="31" t="n">
        <f aca="false">D42*E42</f>
        <v>17.8</v>
      </c>
    </row>
    <row r="43" customFormat="false" ht="15" hidden="false" customHeight="false" outlineLevel="0" collapsed="false">
      <c r="A43" s="13" t="s">
        <v>385</v>
      </c>
      <c r="B43" s="13" t="s">
        <v>261</v>
      </c>
      <c r="C43" s="36" t="str">
        <f aca="false">INDEX(Preços!$B:$B,MATCH(B43,Preços!$A:$A,0))</f>
        <v>Fonte Mean Well LRS-150-5 (5 V / 22 A), variante 5 V</v>
      </c>
      <c r="D43" s="18" t="n">
        <v>1</v>
      </c>
      <c r="E43" s="37" t="n">
        <f aca="false">INDEX(Preços!$D:$D,MATCH(B43,Preços!$A:$A,0))</f>
        <v>185</v>
      </c>
      <c r="F43" s="31" t="n">
        <f aca="false">D43*E43</f>
        <v>185</v>
      </c>
    </row>
    <row r="44" customFormat="false" ht="23.85" hidden="false" customHeight="false" outlineLevel="0" collapsed="false">
      <c r="A44" s="13" t="s">
        <v>385</v>
      </c>
      <c r="B44" s="13" t="s">
        <v>285</v>
      </c>
      <c r="C44" s="36" t="str">
        <f aca="false">INDEX(Preços!$B:$B,MATCH(B44,Preços!$A:$A,0))</f>
        <v>Gabinete do concentrador ventilado (caixa IP54 + cooler 40 mm 12 V + filtro)</v>
      </c>
      <c r="D44" s="18" t="n">
        <v>1</v>
      </c>
      <c r="E44" s="37" t="n">
        <f aca="false">INDEX(Preços!$D:$D,MATCH(B44,Preços!$A:$A,0))</f>
        <v>90</v>
      </c>
      <c r="F44" s="31" t="n">
        <f aca="false">D44*E44</f>
        <v>90</v>
      </c>
    </row>
    <row r="45" customFormat="false" ht="15" hidden="false" customHeight="false" outlineLevel="0" collapsed="false">
      <c r="A45" s="13" t="s">
        <v>385</v>
      </c>
      <c r="B45" s="13" t="s">
        <v>288</v>
      </c>
      <c r="C45" s="36" t="str">
        <f aca="false">INDEX(Preços!$B:$B,MATCH(B45,Preços!$A:$A,0))</f>
        <v>Trilho DIN + bornes + disjuntor 2 A</v>
      </c>
      <c r="D45" s="18" t="n">
        <v>1</v>
      </c>
      <c r="E45" s="37" t="n">
        <f aca="false">INDEX(Preços!$D:$D,MATCH(B45,Preços!$A:$A,0))</f>
        <v>45</v>
      </c>
      <c r="F45" s="31" t="n">
        <f aca="false">D45*E45</f>
        <v>45</v>
      </c>
    </row>
    <row r="46" customFormat="false" ht="15" hidden="false" customHeight="false" outlineLevel="0" collapsed="false">
      <c r="A46" s="13" t="s">
        <v>385</v>
      </c>
      <c r="B46" s="13" t="s">
        <v>270</v>
      </c>
      <c r="C46" s="36" t="str">
        <f aca="false">INDEX(Preços!$B:$B,MATCH(B46,Preços!$A:$A,0))</f>
        <v>Conector RJ45 fêmea para placa (jack)</v>
      </c>
      <c r="D46" s="18" t="n">
        <v>2</v>
      </c>
      <c r="E46" s="37" t="n">
        <f aca="false">INDEX(Preços!$D:$D,MATCH(B46,Preços!$A:$A,0))</f>
        <v>2.5</v>
      </c>
      <c r="F46" s="31" t="n">
        <f aca="false">D46*E46</f>
        <v>5</v>
      </c>
    </row>
    <row r="47" customFormat="false" ht="15" hidden="false" customHeight="false" outlineLevel="0" collapsed="false">
      <c r="A47" s="13" t="s">
        <v>385</v>
      </c>
      <c r="B47" s="13" t="s">
        <v>343</v>
      </c>
      <c r="C47" s="36" t="str">
        <f aca="false">INDEX(Preços!$B:$B,MATCH(B47,Preços!$A:$A,0))</f>
        <v>Cabo PP 3×1,0 mm² (por metro)</v>
      </c>
      <c r="D47" s="18" t="n">
        <v>3</v>
      </c>
      <c r="E47" s="37" t="n">
        <f aca="false">INDEX(Preços!$D:$D,MATCH(B47,Preços!$A:$A,0))</f>
        <v>9.1331</v>
      </c>
      <c r="F47" s="31" t="n">
        <f aca="false">D47*E47</f>
        <v>27.3993</v>
      </c>
    </row>
    <row r="48" customFormat="false" ht="15" hidden="false" customHeight="false" outlineLevel="0" collapsed="false">
      <c r="A48" s="13" t="s">
        <v>385</v>
      </c>
      <c r="B48" s="13" t="s">
        <v>346</v>
      </c>
      <c r="C48" s="36" t="str">
        <f aca="false">INDEX(Preços!$B:$B,MATCH(B48,Preços!$A:$A,0))</f>
        <v>Plugue 2P+T 10 A + prensa-cabo</v>
      </c>
      <c r="D48" s="18" t="n">
        <v>1</v>
      </c>
      <c r="E48" s="37" t="n">
        <f aca="false">INDEX(Preços!$D:$D,MATCH(B48,Preços!$A:$A,0))</f>
        <v>12</v>
      </c>
      <c r="F48" s="31" t="n">
        <f aca="false">D48*E48</f>
        <v>12</v>
      </c>
    </row>
    <row r="49" customFormat="false" ht="15" hidden="false" customHeight="false" outlineLevel="0" collapsed="false">
      <c r="A49" s="13" t="s">
        <v>385</v>
      </c>
      <c r="B49" s="13" t="s">
        <v>348</v>
      </c>
      <c r="C49" s="36" t="str">
        <f aca="false">INDEX(Preços!$B:$B,MATCH(B49,Preços!$A:$A,0))</f>
        <v>DPS / protetor de surto 275 V para o concentrador</v>
      </c>
      <c r="D49" s="18" t="n">
        <v>1</v>
      </c>
      <c r="E49" s="37" t="n">
        <f aca="false">INDEX(Preços!$D:$D,MATCH(B49,Preços!$A:$A,0))</f>
        <v>35</v>
      </c>
      <c r="F49" s="31" t="n">
        <f aca="false">D49*E49</f>
        <v>35</v>
      </c>
    </row>
    <row r="50" customFormat="false" ht="15" hidden="false" customHeight="false" outlineLevel="0" collapsed="false">
      <c r="A50" s="14" t="s">
        <v>386</v>
      </c>
      <c r="B50" s="16"/>
      <c r="C50" s="16"/>
      <c r="D50" s="16"/>
      <c r="E50" s="16"/>
      <c r="F50" s="38" t="n">
        <f aca="false">SUM(F41:F49)</f>
        <v>536.830425</v>
      </c>
    </row>
    <row r="52" customFormat="false" ht="15" hidden="false" customHeight="false" outlineLevel="0" collapsed="false">
      <c r="A52" s="13" t="s">
        <v>387</v>
      </c>
      <c r="B52" s="13" t="s">
        <v>309</v>
      </c>
      <c r="C52" s="36" t="str">
        <f aca="false">INDEX(Preços!$B:$B,MATCH(B52,Preços!$A:$A,0))</f>
        <v>ESP32-C3 Super Mini (pulseira)</v>
      </c>
      <c r="D52" s="18" t="n">
        <v>1</v>
      </c>
      <c r="E52" s="37" t="n">
        <f aca="false">INDEX(Preços!$D:$D,MATCH(B52,Preços!$A:$A,0))</f>
        <v>29.89</v>
      </c>
      <c r="F52" s="31" t="n">
        <f aca="false">D52*E52</f>
        <v>29.89</v>
      </c>
    </row>
    <row r="53" customFormat="false" ht="15" hidden="false" customHeight="false" outlineLevel="0" collapsed="false">
      <c r="A53" s="13" t="s">
        <v>387</v>
      </c>
      <c r="B53" s="13" t="s">
        <v>312</v>
      </c>
      <c r="C53" s="36" t="str">
        <f aca="false">INDEX(Preços!$B:$B,MATCH(B53,Preços!$A:$A,0))</f>
        <v>Módulo leitor NFC PN532 (43×40 mm, com cartão e chaveiro)</v>
      </c>
      <c r="D53" s="18" t="n">
        <v>1</v>
      </c>
      <c r="E53" s="37" t="n">
        <f aca="false">INDEX(Preços!$D:$D,MATCH(B53,Preços!$A:$A,0))</f>
        <v>42.65</v>
      </c>
      <c r="F53" s="31" t="n">
        <f aca="false">D53*E53</f>
        <v>42.65</v>
      </c>
    </row>
    <row r="54" customFormat="false" ht="15" hidden="false" customHeight="false" outlineLevel="0" collapsed="false">
      <c r="A54" s="13" t="s">
        <v>387</v>
      </c>
      <c r="B54" s="13" t="s">
        <v>315</v>
      </c>
      <c r="C54" s="36" t="str">
        <f aca="false">INDEX(Preços!$B:$B,MATCH(B54,Preços!$A:$A,0))</f>
        <v>Kit energia pulseira (LiPo 500 mAh + TP4056 + motor vibração + botão)</v>
      </c>
      <c r="D54" s="18" t="n">
        <v>1</v>
      </c>
      <c r="E54" s="37" t="n">
        <f aca="false">INDEX(Preços!$D:$D,MATCH(B54,Preços!$A:$A,0))</f>
        <v>35</v>
      </c>
      <c r="F54" s="31" t="n">
        <f aca="false">D54*E54</f>
        <v>35</v>
      </c>
    </row>
    <row r="55" customFormat="false" ht="15" hidden="false" customHeight="false" outlineLevel="0" collapsed="false">
      <c r="A55" s="13" t="s">
        <v>387</v>
      </c>
      <c r="B55" s="13" t="s">
        <v>317</v>
      </c>
      <c r="C55" s="36" t="str">
        <f aca="false">INDEX(Preços!$B:$B,MATCH(B55,Preços!$A:$A,0))</f>
        <v>Carcaça 3D + pulseira velcro</v>
      </c>
      <c r="D55" s="18" t="n">
        <v>1</v>
      </c>
      <c r="E55" s="37" t="n">
        <f aca="false">INDEX(Preços!$D:$D,MATCH(B55,Preços!$A:$A,0))</f>
        <v>20</v>
      </c>
      <c r="F55" s="31" t="n">
        <f aca="false">D55*E55</f>
        <v>20</v>
      </c>
    </row>
    <row r="56" customFormat="false" ht="15" hidden="false" customHeight="false" outlineLevel="0" collapsed="false">
      <c r="A56" s="14" t="s">
        <v>388</v>
      </c>
      <c r="B56" s="16"/>
      <c r="C56" s="16"/>
      <c r="D56" s="16"/>
      <c r="E56" s="16"/>
      <c r="F56" s="38" t="n">
        <f aca="false">SUM(F52:F55)</f>
        <v>127.54</v>
      </c>
    </row>
    <row r="58" customFormat="false" ht="15" hidden="false" customHeight="false" outlineLevel="0" collapsed="false">
      <c r="A58" s="13" t="s">
        <v>389</v>
      </c>
      <c r="B58" s="13" t="s">
        <v>304</v>
      </c>
      <c r="C58" s="36" t="str">
        <f aca="false">INDEX(Preços!$B:$B,MATCH(B58,Preços!$A:$A,0))</f>
        <v>Tag NFC NTAG213 adesiva 13,56 MHz</v>
      </c>
      <c r="D58" s="18" t="n">
        <v>1</v>
      </c>
      <c r="E58" s="37" t="n">
        <f aca="false">INDEX(Preços!$D:$D,MATCH(B58,Preços!$A:$A,0))</f>
        <v>2.37</v>
      </c>
      <c r="F58" s="31" t="n">
        <f aca="false">D58*E58</f>
        <v>2.37</v>
      </c>
    </row>
    <row r="59" customFormat="false" ht="15" hidden="false" customHeight="false" outlineLevel="0" collapsed="false">
      <c r="A59" s="13" t="s">
        <v>389</v>
      </c>
      <c r="B59" s="13" t="s">
        <v>307</v>
      </c>
      <c r="C59" s="36" t="str">
        <f aca="false">INDEX(Preços!$B:$B,MATCH(B59,Preços!$A:$A,0))</f>
        <v>Suporte/proteção da tag na caixa retornável</v>
      </c>
      <c r="D59" s="18" t="n">
        <v>1</v>
      </c>
      <c r="E59" s="37" t="n">
        <f aca="false">INDEX(Preços!$D:$D,MATCH(B59,Preços!$A:$A,0))</f>
        <v>0.5</v>
      </c>
      <c r="F59" s="31" t="n">
        <f aca="false">D59*E59</f>
        <v>0.5</v>
      </c>
    </row>
    <row r="60" customFormat="false" ht="15" hidden="false" customHeight="false" outlineLevel="0" collapsed="false">
      <c r="A60" s="14" t="s">
        <v>390</v>
      </c>
      <c r="B60" s="16"/>
      <c r="C60" s="16"/>
      <c r="D60" s="16"/>
      <c r="E60" s="16"/>
      <c r="F60" s="38" t="n">
        <f aca="false">SUM(F58:F59)</f>
        <v>2.87</v>
      </c>
    </row>
    <row r="62" customFormat="false" ht="15" hidden="false" customHeight="false" outlineLevel="0" collapsed="false">
      <c r="A62" s="6" t="s">
        <v>391</v>
      </c>
    </row>
    <row r="63" customFormat="false" ht="15" hidden="false" customHeight="false" outlineLevel="0" collapsed="false">
      <c r="A63" s="6" t="s">
        <v>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18"/>
  </cols>
  <sheetData>
    <row r="1" customFormat="false" ht="31.5" hidden="false" customHeight="true" outlineLevel="0" collapsed="false">
      <c r="A1" s="7" t="s">
        <v>236</v>
      </c>
      <c r="B1" s="7" t="s">
        <v>393</v>
      </c>
      <c r="C1" s="7" t="s">
        <v>394</v>
      </c>
      <c r="D1" s="7" t="s">
        <v>395</v>
      </c>
      <c r="E1" s="7" t="s">
        <v>375</v>
      </c>
      <c r="F1" s="7" t="s">
        <v>396</v>
      </c>
      <c r="G1" s="7" t="s">
        <v>397</v>
      </c>
    </row>
    <row r="2" customFormat="false" ht="15" hidden="false" customHeight="false" outlineLevel="0" collapsed="false">
      <c r="A2" s="12" t="s">
        <v>398</v>
      </c>
    </row>
    <row r="3" customFormat="false" ht="15" hidden="false" customHeight="false" outlineLevel="0" collapsed="false">
      <c r="A3" s="9" t="s">
        <v>399</v>
      </c>
      <c r="B3" s="9" t="s">
        <v>400</v>
      </c>
      <c r="C3" s="39" t="n">
        <f aca="false">ROUNDUP(Estações!$F$44*(1+Premissas!$B$26),0)</f>
        <v>71</v>
      </c>
      <c r="D3" s="39" t="n">
        <f aca="false">ROUNDUP(Estações!$F$43*(1+Premissas!$B$26),0)</f>
        <v>1408</v>
      </c>
      <c r="E3" s="37" t="n">
        <f aca="false">Composição!$F$8</f>
        <v>45.1417049180328</v>
      </c>
      <c r="F3" s="31" t="n">
        <f aca="false">C3*E3</f>
        <v>3205.06104918033</v>
      </c>
      <c r="G3" s="31" t="n">
        <f aca="false">D3*E3</f>
        <v>63559.5205245902</v>
      </c>
    </row>
    <row r="4" customFormat="false" ht="15" hidden="false" customHeight="false" outlineLevel="0" collapsed="false">
      <c r="A4" s="9" t="s">
        <v>401</v>
      </c>
      <c r="B4" s="9" t="s">
        <v>402</v>
      </c>
      <c r="C4" s="39" t="n">
        <f aca="false">ROUNDUP(Estações!$K$44*(1+Premissas!$B$26),0)</f>
        <v>22</v>
      </c>
      <c r="D4" s="39" t="n">
        <f aca="false">ROUNDUP(Estações!$K$43*(1+Premissas!$B$26),0)</f>
        <v>440</v>
      </c>
      <c r="E4" s="37" t="n">
        <f aca="false">Composição!$F$16</f>
        <v>96.8</v>
      </c>
      <c r="F4" s="31" t="n">
        <f aca="false">C4*E4</f>
        <v>2129.6</v>
      </c>
      <c r="G4" s="31" t="n">
        <f aca="false">D4*E4</f>
        <v>42592</v>
      </c>
    </row>
    <row r="5" customFormat="false" ht="15" hidden="false" customHeight="false" outlineLevel="0" collapsed="false">
      <c r="A5" s="9" t="s">
        <v>403</v>
      </c>
      <c r="B5" s="9" t="s">
        <v>404</v>
      </c>
      <c r="C5" s="39" t="n">
        <f aca="false">ROUNDUP(Estações!$M$44*(1+Premissas!$B$26),0)</f>
        <v>14</v>
      </c>
      <c r="D5" s="39" t="n">
        <f aca="false">ROUNDUP(Estações!$M$43*(1+Premissas!$B$26),0)</f>
        <v>277</v>
      </c>
      <c r="E5" s="37" t="n">
        <f aca="false">Composição!$F$27</f>
        <v>134.95</v>
      </c>
      <c r="F5" s="31" t="n">
        <f aca="false">C5*E5</f>
        <v>1889.3</v>
      </c>
      <c r="G5" s="31" t="n">
        <f aca="false">D5*E5</f>
        <v>37381.15</v>
      </c>
    </row>
    <row r="6" customFormat="false" ht="15" hidden="false" customHeight="false" outlineLevel="0" collapsed="false">
      <c r="A6" s="9" t="s">
        <v>405</v>
      </c>
      <c r="B6" s="9" t="s">
        <v>406</v>
      </c>
      <c r="C6" s="39" t="n">
        <f aca="false">ROUNDUP(Estações!$O$44*(1+Premissas!$B$26),0)</f>
        <v>3</v>
      </c>
      <c r="D6" s="39" t="n">
        <f aca="false">ROUNDUP(Estações!$O$43*(1+Premissas!$B$26),0)</f>
        <v>44</v>
      </c>
      <c r="E6" s="37" t="n">
        <f aca="false">Composição!$F$39</f>
        <v>549.810425</v>
      </c>
      <c r="F6" s="31" t="n">
        <f aca="false">C6*E6</f>
        <v>1649.431275</v>
      </c>
      <c r="G6" s="31" t="n">
        <f aca="false">D6*E6</f>
        <v>24191.6587</v>
      </c>
    </row>
    <row r="7" customFormat="false" ht="15" hidden="false" customHeight="false" outlineLevel="0" collapsed="false">
      <c r="A7" s="9" t="s">
        <v>407</v>
      </c>
      <c r="B7" s="9" t="s">
        <v>408</v>
      </c>
      <c r="C7" s="39" t="n">
        <f aca="false">Estações!$N$44*Premissas!$B$29+Estações!$O$44*2*Premissas!$B$30</f>
        <v>120</v>
      </c>
      <c r="D7" s="39" t="n">
        <f aca="false">Estações!$N$43*Premissas!$B$29+Estações!$O$43*2*Premissas!$B$30</f>
        <v>2433</v>
      </c>
      <c r="E7" s="37" t="n">
        <f aca="false">Preços!$D$13</f>
        <v>4.03085245901639</v>
      </c>
      <c r="F7" s="31" t="n">
        <f aca="false">C7*E7</f>
        <v>483.702295081967</v>
      </c>
      <c r="G7" s="31" t="n">
        <f aca="false">D7*E7</f>
        <v>9807.06403278689</v>
      </c>
    </row>
    <row r="8" customFormat="false" ht="15" hidden="false" customHeight="false" outlineLevel="0" collapsed="false">
      <c r="A8" s="9" t="s">
        <v>409</v>
      </c>
      <c r="B8" s="9" t="s">
        <v>410</v>
      </c>
      <c r="C8" s="39" t="n">
        <f aca="false">Estações!$N$44*2+Estações!$O$44*4</f>
        <v>72</v>
      </c>
      <c r="D8" s="39" t="n">
        <f aca="false">Estações!$N$43*2+Estações!$O$43*4</f>
        <v>1462</v>
      </c>
      <c r="E8" s="37" t="n">
        <f aca="false">Preços!$D$12</f>
        <v>0.8</v>
      </c>
      <c r="F8" s="31" t="n">
        <f aca="false">C8*E8</f>
        <v>57.6</v>
      </c>
      <c r="G8" s="31" t="n">
        <f aca="false">D8*E8</f>
        <v>1169.6</v>
      </c>
    </row>
    <row r="9" customFormat="false" ht="23.85" hidden="false" customHeight="false" outlineLevel="0" collapsed="false">
      <c r="A9" s="9" t="s">
        <v>411</v>
      </c>
      <c r="B9" s="9" t="s">
        <v>412</v>
      </c>
      <c r="C9" s="39" t="n">
        <f aca="false">Estações!$K$44*(Premissas!$B$31*Premissas!$B$32+Premissas!$B$33)+Estações!$O$44*2*Premissas!$B$34+Estações!$O$44*Premissas!$B$35</f>
        <v>54</v>
      </c>
      <c r="D9" s="39" t="n">
        <f aca="false">Estações!$K$43*(Premissas!$B$31*Premissas!$B$32+Premissas!$B$33)+Estações!$O$43*2*Premissas!$B$34+Estações!$O$43*Premissas!$B$35</f>
        <v>1080</v>
      </c>
      <c r="E9" s="37" t="n">
        <f aca="false">Preços!$D$19</f>
        <v>9</v>
      </c>
      <c r="F9" s="31" t="n">
        <f aca="false">C9*E9</f>
        <v>486</v>
      </c>
      <c r="G9" s="31" t="n">
        <f aca="false">D9*E9</f>
        <v>9720</v>
      </c>
    </row>
    <row r="10" customFormat="false" ht="15" hidden="false" customHeight="false" outlineLevel="0" collapsed="false">
      <c r="A10" s="9" t="s">
        <v>413</v>
      </c>
      <c r="B10" s="9" t="s">
        <v>414</v>
      </c>
      <c r="C10" s="39" t="n">
        <f aca="false">Estações!$O$44</f>
        <v>2</v>
      </c>
      <c r="D10" s="39" t="n">
        <f aca="false">Estações!$O$43</f>
        <v>40</v>
      </c>
      <c r="E10" s="37" t="n">
        <f aca="false">Preços!$D$20</f>
        <v>40</v>
      </c>
      <c r="F10" s="31" t="n">
        <f aca="false">C10*E10</f>
        <v>80</v>
      </c>
      <c r="G10" s="31" t="n">
        <f aca="false">D10*E10</f>
        <v>1600</v>
      </c>
    </row>
    <row r="11" customFormat="false" ht="15" hidden="false" customHeight="false" outlineLevel="0" collapsed="false">
      <c r="A11" s="9" t="s">
        <v>415</v>
      </c>
      <c r="B11" s="9" t="s">
        <v>416</v>
      </c>
      <c r="C11" s="39" t="n">
        <f aca="false">Estações!$O$44</f>
        <v>2</v>
      </c>
      <c r="D11" s="39" t="n">
        <f aca="false">Estações!$O$43</f>
        <v>40</v>
      </c>
      <c r="E11" s="37" t="n">
        <f aca="false">Preços!$D$48</f>
        <v>45</v>
      </c>
      <c r="F11" s="31" t="n">
        <f aca="false">C11*E11</f>
        <v>90</v>
      </c>
      <c r="G11" s="31" t="n">
        <f aca="false">D11*E11</f>
        <v>1800</v>
      </c>
    </row>
    <row r="12" customFormat="false" ht="15" hidden="false" customHeight="false" outlineLevel="0" collapsed="false">
      <c r="A12" s="9" t="s">
        <v>417</v>
      </c>
      <c r="B12" s="9" t="s">
        <v>418</v>
      </c>
      <c r="C12" s="39" t="n">
        <f aca="false">Estações!$O$44*Premissas!$B$36</f>
        <v>100</v>
      </c>
      <c r="D12" s="39" t="n">
        <f aca="false">Estações!$O$43*Premissas!$B$36</f>
        <v>2000</v>
      </c>
      <c r="E12" s="37" t="n">
        <f aca="false">Preços!$D$13</f>
        <v>4.03085245901639</v>
      </c>
      <c r="F12" s="31" t="n">
        <f aca="false">C12*E12</f>
        <v>403.085245901639</v>
      </c>
      <c r="G12" s="31" t="n">
        <f aca="false">D12*E12</f>
        <v>8061.70491803279</v>
      </c>
    </row>
    <row r="13" customFormat="false" ht="15" hidden="false" customHeight="false" outlineLevel="0" collapsed="false">
      <c r="A13" s="9" t="s">
        <v>419</v>
      </c>
      <c r="B13" s="9" t="s">
        <v>420</v>
      </c>
      <c r="C13" s="39" t="n">
        <f aca="false">ROUNDUP(Estações!$O$44/Premissas!$B$37,0)</f>
        <v>1</v>
      </c>
      <c r="D13" s="39" t="n">
        <f aca="false">ROUNDUP(Estações!$O$43/Premissas!$B$37,0)</f>
        <v>2</v>
      </c>
      <c r="E13" s="37" t="n">
        <f aca="false">Preços!$D$21</f>
        <v>769.32</v>
      </c>
      <c r="F13" s="31" t="n">
        <f aca="false">C13*E13</f>
        <v>769.32</v>
      </c>
      <c r="G13" s="31" t="n">
        <f aca="false">D13*E13</f>
        <v>1538.64</v>
      </c>
    </row>
    <row r="14" customFormat="false" ht="15" hidden="false" customHeight="false" outlineLevel="0" collapsed="false">
      <c r="A14" s="9" t="s">
        <v>421</v>
      </c>
      <c r="B14" s="9" t="s">
        <v>422</v>
      </c>
      <c r="C14" s="39" t="n">
        <f aca="false">C13</f>
        <v>1</v>
      </c>
      <c r="D14" s="39" t="n">
        <f aca="false">D13</f>
        <v>2</v>
      </c>
      <c r="E14" s="37" t="n">
        <f aca="false">Preços!$D$42</f>
        <v>368.1</v>
      </c>
      <c r="F14" s="31" t="n">
        <f aca="false">C14*E14</f>
        <v>368.1</v>
      </c>
      <c r="G14" s="31" t="n">
        <f aca="false">D14*E14</f>
        <v>736.2</v>
      </c>
    </row>
    <row r="15" customFormat="false" ht="15" hidden="false" customHeight="false" outlineLevel="0" collapsed="false">
      <c r="A15" s="9" t="s">
        <v>423</v>
      </c>
      <c r="B15" s="9" t="s">
        <v>422</v>
      </c>
      <c r="C15" s="39" t="n">
        <f aca="false">C13</f>
        <v>1</v>
      </c>
      <c r="D15" s="39" t="n">
        <f aca="false">D13</f>
        <v>2</v>
      </c>
      <c r="E15" s="37" t="n">
        <f aca="false">Preços!$D$43</f>
        <v>550</v>
      </c>
      <c r="F15" s="31" t="n">
        <f aca="false">C15*E15</f>
        <v>550</v>
      </c>
      <c r="G15" s="31" t="n">
        <f aca="false">D15*E15</f>
        <v>1100</v>
      </c>
    </row>
    <row r="16" customFormat="false" ht="15" hidden="false" customHeight="false" outlineLevel="0" collapsed="false">
      <c r="A16" s="9" t="s">
        <v>424</v>
      </c>
      <c r="B16" s="9" t="s">
        <v>425</v>
      </c>
      <c r="C16" s="39" t="n">
        <f aca="false">C13*Premissas!$B$38</f>
        <v>80</v>
      </c>
      <c r="D16" s="39" t="n">
        <f aca="false">D13*Premissas!$B$38</f>
        <v>160</v>
      </c>
      <c r="E16" s="37" t="n">
        <f aca="false">Preços!$D$13</f>
        <v>4.03085245901639</v>
      </c>
      <c r="F16" s="31" t="n">
        <f aca="false">C16*E16</f>
        <v>322.468196721312</v>
      </c>
      <c r="G16" s="31" t="n">
        <f aca="false">D16*E16</f>
        <v>644.936393442623</v>
      </c>
    </row>
    <row r="17" customFormat="false" ht="15" hidden="false" customHeight="false" outlineLevel="0" collapsed="false">
      <c r="A17" s="9" t="s">
        <v>426</v>
      </c>
      <c r="B17" s="9" t="s">
        <v>427</v>
      </c>
      <c r="C17" s="39" t="n">
        <f aca="false">ROUNDUP(Estações!$O$44*Premissas!$B$39,0)</f>
        <v>1</v>
      </c>
      <c r="D17" s="39" t="n">
        <f aca="false">ROUNDUP(Estações!$O$43*Premissas!$B$39,0)</f>
        <v>20</v>
      </c>
      <c r="E17" s="37" t="n">
        <f aca="false">Preços!$D$45</f>
        <v>350</v>
      </c>
      <c r="F17" s="31" t="n">
        <f aca="false">C17*E17</f>
        <v>350</v>
      </c>
      <c r="G17" s="31" t="n">
        <f aca="false">D17*E17</f>
        <v>7000</v>
      </c>
    </row>
    <row r="18" customFormat="false" ht="15" hidden="false" customHeight="false" outlineLevel="0" collapsed="false">
      <c r="A18" s="9" t="s">
        <v>428</v>
      </c>
      <c r="B18" s="9" t="s">
        <v>429</v>
      </c>
      <c r="C18" s="39" t="n">
        <f aca="false">1</f>
        <v>1</v>
      </c>
      <c r="D18" s="39" t="n">
        <f aca="false">1</f>
        <v>1</v>
      </c>
      <c r="E18" s="37" t="n">
        <f aca="false">Preços!$D$40</f>
        <v>285.99</v>
      </c>
      <c r="F18" s="31" t="n">
        <f aca="false">C18*E18</f>
        <v>285.99</v>
      </c>
      <c r="G18" s="31" t="n">
        <f aca="false">D18*E18</f>
        <v>285.99</v>
      </c>
    </row>
    <row r="19" customFormat="false" ht="15" hidden="false" customHeight="false" outlineLevel="0" collapsed="false">
      <c r="A19" s="9" t="s">
        <v>430</v>
      </c>
      <c r="B19" s="9" t="s">
        <v>429</v>
      </c>
      <c r="C19" s="39" t="n">
        <f aca="false">1</f>
        <v>1</v>
      </c>
      <c r="D19" s="39" t="n">
        <f aca="false">1</f>
        <v>1</v>
      </c>
      <c r="E19" s="37" t="n">
        <f aca="false">Preços!$D$41</f>
        <v>700</v>
      </c>
      <c r="F19" s="31" t="n">
        <f aca="false">C19*E19</f>
        <v>700</v>
      </c>
      <c r="G19" s="31" t="n">
        <f aca="false">D19*E19</f>
        <v>700</v>
      </c>
    </row>
    <row r="20" customFormat="false" ht="15" hidden="false" customHeight="false" outlineLevel="0" collapsed="false">
      <c r="A20" s="13" t="s">
        <v>431</v>
      </c>
      <c r="B20" s="13" t="s">
        <v>432</v>
      </c>
      <c r="C20" s="13"/>
      <c r="D20" s="13"/>
      <c r="E20" s="40" t="n">
        <f aca="false">Premissas!$B$27</f>
        <v>0.05</v>
      </c>
      <c r="F20" s="31" t="n">
        <f aca="false">E20*SUM(F3:F19)</f>
        <v>690.982903094262</v>
      </c>
      <c r="G20" s="31" t="n">
        <f aca="false">E20*SUM(G3:G19)</f>
        <v>10594.4232284426</v>
      </c>
    </row>
    <row r="21" customFormat="false" ht="15" hidden="false" customHeight="false" outlineLevel="0" collapsed="false">
      <c r="A21" s="14" t="s">
        <v>433</v>
      </c>
      <c r="B21" s="16"/>
      <c r="C21" s="16"/>
      <c r="D21" s="16"/>
      <c r="E21" s="16"/>
      <c r="F21" s="38" t="n">
        <f aca="false">SUM(F3:F20)</f>
        <v>14510.6409649795</v>
      </c>
      <c r="G21" s="38" t="n">
        <f aca="false">SUM(G3:G20)</f>
        <v>222482.887797295</v>
      </c>
    </row>
    <row r="23" customFormat="false" ht="15" hidden="false" customHeight="false" outlineLevel="0" collapsed="false">
      <c r="A23" s="12" t="s">
        <v>434</v>
      </c>
    </row>
    <row r="24" customFormat="false" ht="15" hidden="false" customHeight="false" outlineLevel="0" collapsed="false">
      <c r="A24" s="9" t="s">
        <v>435</v>
      </c>
      <c r="B24" s="9" t="s">
        <v>436</v>
      </c>
      <c r="C24" s="21" t="n">
        <f aca="false">C3*Premissas!$B$12</f>
        <v>17.75</v>
      </c>
      <c r="D24" s="21" t="n">
        <f aca="false">D3*Premissas!$B$12</f>
        <v>352</v>
      </c>
      <c r="E24" s="37" t="n">
        <f aca="false">Premissas!$B$9</f>
        <v>34.9305521472393</v>
      </c>
      <c r="F24" s="31" t="n">
        <f aca="false">C24*E24</f>
        <v>620.017300613497</v>
      </c>
      <c r="G24" s="31" t="n">
        <f aca="false">D24*E24</f>
        <v>12295.5543558282</v>
      </c>
    </row>
    <row r="25" customFormat="false" ht="15" hidden="false" customHeight="false" outlineLevel="0" collapsed="false">
      <c r="A25" s="9" t="s">
        <v>437</v>
      </c>
      <c r="B25" s="9" t="s">
        <v>438</v>
      </c>
      <c r="C25" s="21" t="n">
        <f aca="false">C4*Premissas!$B$13</f>
        <v>16.5</v>
      </c>
      <c r="D25" s="21" t="n">
        <f aca="false">D4*Premissas!$B$13</f>
        <v>330</v>
      </c>
      <c r="E25" s="37" t="n">
        <f aca="false">Premissas!$B$9</f>
        <v>34.9305521472393</v>
      </c>
      <c r="F25" s="31" t="n">
        <f aca="false">C25*E25</f>
        <v>576.354110429448</v>
      </c>
      <c r="G25" s="31" t="n">
        <f aca="false">D25*E25</f>
        <v>11527.082208589</v>
      </c>
    </row>
    <row r="26" customFormat="false" ht="15" hidden="false" customHeight="false" outlineLevel="0" collapsed="false">
      <c r="A26" s="9" t="s">
        <v>439</v>
      </c>
      <c r="B26" s="9" t="s">
        <v>436</v>
      </c>
      <c r="C26" s="21" t="n">
        <f aca="false">C5*Premissas!$B$14</f>
        <v>14</v>
      </c>
      <c r="D26" s="21" t="n">
        <f aca="false">D5*Premissas!$B$14</f>
        <v>277</v>
      </c>
      <c r="E26" s="37" t="n">
        <f aca="false">Premissas!$B$9</f>
        <v>34.9305521472393</v>
      </c>
      <c r="F26" s="31" t="n">
        <f aca="false">C26*E26</f>
        <v>489.02773006135</v>
      </c>
      <c r="G26" s="31" t="n">
        <f aca="false">D26*E26</f>
        <v>9675.76294478528</v>
      </c>
    </row>
    <row r="27" customFormat="false" ht="15" hidden="false" customHeight="false" outlineLevel="0" collapsed="false">
      <c r="A27" s="9" t="s">
        <v>440</v>
      </c>
      <c r="B27" s="9" t="s">
        <v>441</v>
      </c>
      <c r="C27" s="21" t="n">
        <f aca="false">C6*Premissas!$B$15</f>
        <v>6</v>
      </c>
      <c r="D27" s="21" t="n">
        <f aca="false">D6*Premissas!$B$15</f>
        <v>88</v>
      </c>
      <c r="E27" s="37" t="n">
        <f aca="false">Premissas!$B$9</f>
        <v>34.9305521472393</v>
      </c>
      <c r="F27" s="31" t="n">
        <f aca="false">C27*E27</f>
        <v>209.583312883436</v>
      </c>
      <c r="G27" s="31" t="n">
        <f aca="false">D27*E27</f>
        <v>3073.88858895706</v>
      </c>
    </row>
    <row r="28" customFormat="false" ht="15" hidden="false" customHeight="false" outlineLevel="0" collapsed="false">
      <c r="A28" s="9" t="s">
        <v>442</v>
      </c>
      <c r="B28" s="9" t="s">
        <v>443</v>
      </c>
      <c r="C28" s="21" t="n">
        <f aca="false">(Estações!$O$44*Premissas!$B$16+Estações!$F$44*Premissas!$B$17+Estações!$K$44*Premissas!$B$18+Estações!$M$44*Premissas!$B$19+C9*Premissas!$B$20)*Premissas!$B$22</f>
        <v>46.68</v>
      </c>
      <c r="D28" s="21" t="n">
        <f aca="false">(Estações!$O$43*Premissas!$B$16+Estações!$F$43*Premissas!$B$17+Estações!$K$43*Premissas!$B$18+Estações!$M$43*Premissas!$B$19+D9*Premissas!$B$20)*Premissas!$B$22</f>
        <v>939.375</v>
      </c>
      <c r="E28" s="37" t="n">
        <f aca="false">Premissas!$B$9</f>
        <v>34.9305521472393</v>
      </c>
      <c r="F28" s="31" t="n">
        <f aca="false">C28*E28</f>
        <v>1630.55817423313</v>
      </c>
      <c r="G28" s="31" t="n">
        <f aca="false">D28*E28</f>
        <v>32812.8874233129</v>
      </c>
    </row>
    <row r="29" customFormat="false" ht="15" hidden="false" customHeight="false" outlineLevel="0" collapsed="false">
      <c r="A29" s="9" t="s">
        <v>444</v>
      </c>
      <c r="B29" s="9" t="s">
        <v>445</v>
      </c>
      <c r="C29" s="21" t="n">
        <f aca="false">Estações!$O$44*Premissas!$B$21*Premissas!$B$22</f>
        <v>12</v>
      </c>
      <c r="D29" s="21" t="n">
        <f aca="false">Estações!$O$43*Premissas!$B$21*Premissas!$B$22</f>
        <v>240</v>
      </c>
      <c r="E29" s="37" t="n">
        <f aca="false">Premissas!$B$9</f>
        <v>34.9305521472393</v>
      </c>
      <c r="F29" s="31" t="n">
        <f aca="false">C29*E29</f>
        <v>419.166625766871</v>
      </c>
      <c r="G29" s="31" t="n">
        <f aca="false">D29*E29</f>
        <v>8383.33251533742</v>
      </c>
    </row>
    <row r="30" customFormat="false" ht="15" hidden="false" customHeight="false" outlineLevel="0" collapsed="false">
      <c r="A30" s="9" t="s">
        <v>446</v>
      </c>
      <c r="B30" s="9" t="s">
        <v>447</v>
      </c>
      <c r="C30" s="21" t="n">
        <f aca="false">Estações!$O$44*Premissas!$B$23*Premissas!$B$24</f>
        <v>8</v>
      </c>
      <c r="D30" s="21" t="n">
        <f aca="false">Estações!$O$43*Premissas!$B$23*Premissas!$B$24</f>
        <v>160</v>
      </c>
      <c r="E30" s="37" t="n">
        <f aca="false">Premissas!$B$11</f>
        <v>24.6575460122699</v>
      </c>
      <c r="F30" s="31" t="n">
        <f aca="false">C30*E30</f>
        <v>197.26036809816</v>
      </c>
      <c r="G30" s="31" t="n">
        <f aca="false">D30*E30</f>
        <v>3945.20736196319</v>
      </c>
    </row>
    <row r="31" customFormat="false" ht="15" hidden="false" customHeight="false" outlineLevel="0" collapsed="false">
      <c r="A31" s="9" t="s">
        <v>448</v>
      </c>
      <c r="B31" s="9" t="s">
        <v>449</v>
      </c>
      <c r="C31" s="21" t="n">
        <f aca="false">Premissas!$B$25</f>
        <v>16</v>
      </c>
      <c r="D31" s="21" t="n">
        <f aca="false">Premissas!$B$25</f>
        <v>16</v>
      </c>
      <c r="E31" s="37" t="n">
        <f aca="false">Premissas!$B$9</f>
        <v>34.9305521472393</v>
      </c>
      <c r="F31" s="31" t="n">
        <f aca="false">C31*E31</f>
        <v>558.888834355828</v>
      </c>
      <c r="G31" s="31" t="n">
        <f aca="false">D31*E31</f>
        <v>558.888834355828</v>
      </c>
    </row>
    <row r="32" customFormat="false" ht="15" hidden="false" customHeight="false" outlineLevel="0" collapsed="false">
      <c r="A32" s="14" t="s">
        <v>450</v>
      </c>
      <c r="B32" s="16"/>
      <c r="C32" s="41" t="n">
        <f aca="false">SUM(C24:C31)</f>
        <v>136.93</v>
      </c>
      <c r="D32" s="41" t="n">
        <f aca="false">SUM(D24:D31)</f>
        <v>2402.375</v>
      </c>
      <c r="E32" s="16"/>
      <c r="F32" s="38" t="n">
        <f aca="false">SUM(F24:F31)</f>
        <v>4700.85645644172</v>
      </c>
      <c r="G32" s="38" t="n">
        <f aca="false">SUM(G24:G31)</f>
        <v>82272.6042331288</v>
      </c>
    </row>
    <row r="34" customFormat="false" ht="15" hidden="false" customHeight="false" outlineLevel="0" collapsed="false">
      <c r="A34" s="14" t="s">
        <v>451</v>
      </c>
      <c r="B34" s="16"/>
      <c r="C34" s="16"/>
      <c r="D34" s="16"/>
      <c r="E34" s="16"/>
      <c r="F34" s="38" t="n">
        <f aca="false">F21+F32</f>
        <v>19211.4974214212</v>
      </c>
      <c r="G34" s="38" t="n">
        <f aca="false">G21+G32</f>
        <v>304755.492030424</v>
      </c>
    </row>
    <row r="36" customFormat="false" ht="15" hidden="false" customHeight="false" outlineLevel="0" collapsed="false">
      <c r="A36" s="12" t="s">
        <v>452</v>
      </c>
    </row>
    <row r="37" customFormat="false" ht="15" hidden="false" customHeight="false" outlineLevel="0" collapsed="false">
      <c r="A37" s="9" t="s">
        <v>453</v>
      </c>
      <c r="B37" s="9" t="s">
        <v>454</v>
      </c>
      <c r="C37" s="39" t="n">
        <f aca="false">-(C4+C5+C6)</f>
        <v>-39</v>
      </c>
      <c r="D37" s="39" t="n">
        <f aca="false">-(D4+D5+D6)</f>
        <v>-761</v>
      </c>
      <c r="E37" s="37" t="n">
        <f aca="false">Preços!$D$9</f>
        <v>8</v>
      </c>
      <c r="F37" s="31" t="n">
        <f aca="false">C37*E37</f>
        <v>-312</v>
      </c>
      <c r="G37" s="31" t="n">
        <f aca="false">D37*E37</f>
        <v>-6088</v>
      </c>
    </row>
    <row r="38" customFormat="false" ht="15" hidden="false" customHeight="false" outlineLevel="0" collapsed="false">
      <c r="A38" s="9" t="s">
        <v>455</v>
      </c>
      <c r="B38" s="9" t="s">
        <v>456</v>
      </c>
      <c r="C38" s="39" t="n">
        <f aca="false">C6</f>
        <v>3</v>
      </c>
      <c r="D38" s="39" t="n">
        <f aca="false">D6</f>
        <v>44</v>
      </c>
      <c r="E38" s="37" t="n">
        <f aca="false">(Preços!$D$8-Preços!$D$7)</f>
        <v>-4.97999999999999</v>
      </c>
      <c r="F38" s="31" t="n">
        <f aca="false">C38*E38</f>
        <v>-14.94</v>
      </c>
      <c r="G38" s="31" t="n">
        <f aca="false">D38*E38</f>
        <v>-219.12</v>
      </c>
    </row>
    <row r="39" customFormat="false" ht="15" hidden="false" customHeight="false" outlineLevel="0" collapsed="false">
      <c r="A39" s="9" t="s">
        <v>457</v>
      </c>
      <c r="B39" s="9" t="s">
        <v>418</v>
      </c>
      <c r="C39" s="39" t="n">
        <f aca="false">Estações!$O$44*Premissas!$B$42</f>
        <v>60</v>
      </c>
      <c r="D39" s="39" t="n">
        <f aca="false">Estações!$O$43*Premissas!$B$42</f>
        <v>1200</v>
      </c>
      <c r="E39" s="37" t="n">
        <f aca="false">Preços!$D$37</f>
        <v>9.1331</v>
      </c>
      <c r="F39" s="31" t="n">
        <f aca="false">C39*E39</f>
        <v>547.986</v>
      </c>
      <c r="G39" s="31" t="n">
        <f aca="false">D39*E39</f>
        <v>10959.72</v>
      </c>
    </row>
    <row r="40" customFormat="false" ht="15" hidden="false" customHeight="false" outlineLevel="0" collapsed="false">
      <c r="A40" s="14" t="s">
        <v>458</v>
      </c>
      <c r="B40" s="16"/>
      <c r="C40" s="16"/>
      <c r="D40" s="16"/>
      <c r="E40" s="16"/>
      <c r="F40" s="38" t="n">
        <f aca="false">F21+SUM(F37:F39)</f>
        <v>14731.6869649795</v>
      </c>
      <c r="G40" s="38" t="n">
        <f aca="false">G21+SUM(G37:G39)</f>
        <v>227135.487797295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18"/>
  </cols>
  <sheetData>
    <row r="1" customFormat="false" ht="31.5" hidden="false" customHeight="true" outlineLevel="0" collapsed="false">
      <c r="A1" s="7" t="s">
        <v>236</v>
      </c>
      <c r="B1" s="7" t="s">
        <v>393</v>
      </c>
      <c r="C1" s="7" t="s">
        <v>394</v>
      </c>
      <c r="D1" s="7" t="s">
        <v>395</v>
      </c>
      <c r="E1" s="7" t="s">
        <v>375</v>
      </c>
      <c r="F1" s="7" t="s">
        <v>396</v>
      </c>
      <c r="G1" s="7" t="s">
        <v>397</v>
      </c>
    </row>
    <row r="2" customFormat="false" ht="15" hidden="false" customHeight="false" outlineLevel="0" collapsed="false">
      <c r="A2" s="12" t="s">
        <v>459</v>
      </c>
    </row>
    <row r="3" customFormat="false" ht="15" hidden="false" customHeight="false" outlineLevel="0" collapsed="false">
      <c r="A3" s="9" t="s">
        <v>460</v>
      </c>
      <c r="B3" s="9" t="s">
        <v>400</v>
      </c>
      <c r="C3" s="39" t="n">
        <f aca="false">ROUNDUP(Estações!$F$44*(1+Premissas!$B$26),0)</f>
        <v>71</v>
      </c>
      <c r="D3" s="39" t="n">
        <f aca="false">ROUNDUP(Estações!$F$43*(1+Premissas!$B$26),0)</f>
        <v>1408</v>
      </c>
      <c r="E3" s="37" t="n">
        <f aca="false">Preços!$D$32+Preços!$D$14</f>
        <v>91.13441</v>
      </c>
      <c r="F3" s="31" t="n">
        <f aca="false">C3*E3</f>
        <v>6470.54311</v>
      </c>
      <c r="G3" s="31" t="n">
        <f aca="false">D3*E3</f>
        <v>128317.24928</v>
      </c>
    </row>
    <row r="4" customFormat="false" ht="15" hidden="false" customHeight="false" outlineLevel="0" collapsed="false">
      <c r="A4" s="9" t="s">
        <v>461</v>
      </c>
      <c r="B4" s="9" t="s">
        <v>404</v>
      </c>
      <c r="C4" s="39" t="n">
        <f aca="false">ROUNDUP(Estações!$M$44*(1+Premissas!$B$26),0)</f>
        <v>14</v>
      </c>
      <c r="D4" s="39" t="n">
        <f aca="false">ROUNDUP(Estações!$M$43*(1+Premissas!$B$26),0)</f>
        <v>277</v>
      </c>
      <c r="E4" s="37" t="n">
        <f aca="false">Preços!$D$33+Preços!$D$15+Preços!$D$10</f>
        <v>243.55078</v>
      </c>
      <c r="F4" s="31" t="n">
        <f aca="false">C4*E4</f>
        <v>3409.71092</v>
      </c>
      <c r="G4" s="31" t="n">
        <f aca="false">D4*E4</f>
        <v>67463.56606</v>
      </c>
    </row>
    <row r="5" customFormat="false" ht="23.85" hidden="false" customHeight="false" outlineLevel="0" collapsed="false">
      <c r="A5" s="9" t="s">
        <v>462</v>
      </c>
      <c r="B5" s="9" t="s">
        <v>463</v>
      </c>
      <c r="C5" s="39" t="n">
        <f aca="false">ROUNDUP(Estações!$O$44*(1+Premissas!$B$26),0)</f>
        <v>3</v>
      </c>
      <c r="D5" s="39" t="n">
        <f aca="false">ROUNDUP(Estações!$O$43*(1+Premissas!$B$26),0)</f>
        <v>44</v>
      </c>
      <c r="E5" s="37" t="n">
        <f aca="false">Preços!$D$34+Preços!$D$7+Preços!$D$17+Preços!$D$18+Preços!$D$37*3+Preços!$D$38*1+Preços!$D$39*1</f>
        <v>734.34645</v>
      </c>
      <c r="F5" s="31" t="n">
        <f aca="false">C5*E5</f>
        <v>2203.03935</v>
      </c>
      <c r="G5" s="31" t="n">
        <f aca="false">D5*E5</f>
        <v>32311.2438</v>
      </c>
    </row>
    <row r="6" customFormat="false" ht="15" hidden="false" customHeight="false" outlineLevel="0" collapsed="false">
      <c r="A6" s="9" t="s">
        <v>464</v>
      </c>
      <c r="B6" s="9" t="s">
        <v>465</v>
      </c>
      <c r="C6" s="39" t="n">
        <f aca="false">Estações!$F$44*Premissas!$B$43+Estações!$M$44*Premissas!$B$29+Estações!$O$44*2*Premissas!$B$30</f>
        <v>124</v>
      </c>
      <c r="D6" s="39" t="n">
        <f aca="false">Estações!$F$43*Premissas!$B$43+Estações!$M$43*Premissas!$B$29+Estações!$O$43*2*Premissas!$B$30</f>
        <v>2513</v>
      </c>
      <c r="E6" s="37" t="n">
        <f aca="false">Preços!$D$13</f>
        <v>4.03085245901639</v>
      </c>
      <c r="F6" s="31" t="n">
        <f aca="false">C6*E6</f>
        <v>499.825704918033</v>
      </c>
      <c r="G6" s="31" t="n">
        <f aca="false">D6*E6</f>
        <v>10129.5322295082</v>
      </c>
    </row>
    <row r="7" customFormat="false" ht="15" hidden="false" customHeight="false" outlineLevel="0" collapsed="false">
      <c r="A7" s="9" t="s">
        <v>409</v>
      </c>
      <c r="B7" s="9" t="s">
        <v>466</v>
      </c>
      <c r="C7" s="39" t="n">
        <f aca="false">(Estações!$F$44+Estações!$M$44)*2+Estações!$O$44*4</f>
        <v>160</v>
      </c>
      <c r="D7" s="39" t="n">
        <f aca="false">(Estações!$F$43+Estações!$M$43)*2+Estações!$O$43*4</f>
        <v>3222</v>
      </c>
      <c r="E7" s="37" t="n">
        <f aca="false">Preços!$D$12</f>
        <v>0.8</v>
      </c>
      <c r="F7" s="31" t="n">
        <f aca="false">C7*E7</f>
        <v>128</v>
      </c>
      <c r="G7" s="31" t="n">
        <f aca="false">D7*E7</f>
        <v>2577.6</v>
      </c>
    </row>
    <row r="8" customFormat="false" ht="23.85" hidden="false" customHeight="false" outlineLevel="0" collapsed="false">
      <c r="A8" s="9" t="s">
        <v>467</v>
      </c>
      <c r="B8" s="9" t="s">
        <v>468</v>
      </c>
      <c r="C8" s="13"/>
      <c r="D8" s="13"/>
      <c r="E8" s="13"/>
      <c r="F8" s="37" t="n">
        <f aca="false">SUM('A-Interno'!F9:F19)</f>
        <v>4404.96344262295</v>
      </c>
      <c r="G8" s="37" t="n">
        <f aca="false">SUM('A-Interno'!G9:G19)</f>
        <v>33187.4713114754</v>
      </c>
    </row>
    <row r="9" customFormat="false" ht="15" hidden="false" customHeight="false" outlineLevel="0" collapsed="false">
      <c r="A9" s="9" t="s">
        <v>469</v>
      </c>
      <c r="B9" s="9" t="s">
        <v>470</v>
      </c>
      <c r="C9" s="39" t="n">
        <f aca="false">1</f>
        <v>1</v>
      </c>
      <c r="D9" s="39" t="n">
        <f aca="false">1</f>
        <v>1</v>
      </c>
      <c r="E9" s="37" t="n">
        <f aca="false">Preços!$D$35</f>
        <v>15000</v>
      </c>
      <c r="F9" s="31" t="n">
        <f aca="false">C9*E9</f>
        <v>15000</v>
      </c>
      <c r="G9" s="31" t="n">
        <f aca="false">D9*E9</f>
        <v>15000</v>
      </c>
    </row>
    <row r="10" customFormat="false" ht="15" hidden="false" customHeight="false" outlineLevel="0" collapsed="false">
      <c r="A10" s="9" t="s">
        <v>471</v>
      </c>
      <c r="B10" s="9" t="s">
        <v>472</v>
      </c>
      <c r="C10" s="21" t="n">
        <f aca="false">(C3+C4+C5)*Premissas!$B$44</f>
        <v>8.8</v>
      </c>
      <c r="D10" s="21" t="n">
        <f aca="false">(D3+D4+D5)*Premissas!$B$44</f>
        <v>172.9</v>
      </c>
      <c r="E10" s="37" t="n">
        <f aca="false">Premissas!$B$9</f>
        <v>34.9305521472393</v>
      </c>
      <c r="F10" s="31" t="n">
        <f aca="false">C10*E10</f>
        <v>307.388858895706</v>
      </c>
      <c r="G10" s="31" t="n">
        <f aca="false">D10*E10</f>
        <v>6039.49246625767</v>
      </c>
    </row>
    <row r="11" customFormat="false" ht="15" hidden="false" customHeight="false" outlineLevel="0" collapsed="false">
      <c r="A11" s="9" t="s">
        <v>473</v>
      </c>
      <c r="B11" s="9" t="s">
        <v>474</v>
      </c>
      <c r="C11" s="21" t="n">
        <f aca="false">(Estações!$O$44*Premissas!$B$16+Estações!$F$44*Premissas!$B$17+Estações!$M$44*Premissas!$B$19+'A-Interno'!C9*Premissas!$B$20+Estações!$O$44*Premissas!$B$21)*Premissas!$B$22</f>
        <v>51.18</v>
      </c>
      <c r="D11" s="21" t="n">
        <f aca="false">(Estações!$O$43*Premissas!$B$16+Estações!$F$43*Premissas!$B$17+Estações!$M$43*Premissas!$B$19+'A-Interno'!D9*Premissas!$B$20+Estações!$O$43*Premissas!$B$21)*Premissas!$B$22</f>
        <v>1029.375</v>
      </c>
      <c r="E11" s="37" t="n">
        <f aca="false">Premissas!$B$9</f>
        <v>34.9305521472393</v>
      </c>
      <c r="F11" s="31" t="n">
        <f aca="false">C11*E11</f>
        <v>1787.74565889571</v>
      </c>
      <c r="G11" s="31" t="n">
        <f aca="false">D11*E11</f>
        <v>35956.6371165644</v>
      </c>
    </row>
    <row r="12" customFormat="false" ht="15" hidden="false" customHeight="false" outlineLevel="0" collapsed="false">
      <c r="A12" s="9" t="s">
        <v>475</v>
      </c>
      <c r="B12" s="9" t="s">
        <v>468</v>
      </c>
      <c r="C12" s="13"/>
      <c r="D12" s="13"/>
      <c r="E12" s="13"/>
      <c r="F12" s="37" t="n">
        <f aca="false">SUM('A-Interno'!F30:F31)</f>
        <v>756.149202453988</v>
      </c>
      <c r="G12" s="37" t="n">
        <f aca="false">SUM('A-Interno'!G30:G31)</f>
        <v>4504.09619631902</v>
      </c>
    </row>
    <row r="13" customFormat="false" ht="15" hidden="false" customHeight="false" outlineLevel="0" collapsed="false">
      <c r="A13" s="14" t="s">
        <v>476</v>
      </c>
      <c r="B13" s="16"/>
      <c r="C13" s="16"/>
      <c r="D13" s="16"/>
      <c r="E13" s="16"/>
      <c r="F13" s="38" t="n">
        <f aca="false">SUM(F3:F12)</f>
        <v>34967.3662477864</v>
      </c>
      <c r="G13" s="38" t="n">
        <f aca="false">SUM(G3:G12)</f>
        <v>335486.888460125</v>
      </c>
    </row>
    <row r="15" customFormat="false" ht="15" hidden="false" customHeight="false" outlineLevel="0" collapsed="false">
      <c r="A15" s="12" t="s">
        <v>477</v>
      </c>
    </row>
    <row r="16" customFormat="false" ht="15" hidden="false" customHeight="false" outlineLevel="0" collapsed="false">
      <c r="A16" s="9" t="s">
        <v>478</v>
      </c>
      <c r="B16" s="9" t="s">
        <v>479</v>
      </c>
      <c r="C16" s="39" t="n">
        <f aca="false">ROUNDUP(Estações!$F$44*(1+Premissas!$B$26),0)</f>
        <v>71</v>
      </c>
      <c r="D16" s="39" t="n">
        <f aca="false">ROUNDUP(Estações!$F$43*(1+Premissas!$B$26),0)</f>
        <v>1408</v>
      </c>
      <c r="E16" s="37" t="n">
        <f aca="false">Preços!$D$29</f>
        <v>287.1147</v>
      </c>
      <c r="F16" s="31" t="n">
        <f aca="false">C16*E16</f>
        <v>20385.1437</v>
      </c>
      <c r="G16" s="31" t="n">
        <f aca="false">D16*E16</f>
        <v>404257.4976</v>
      </c>
    </row>
    <row r="17" customFormat="false" ht="15" hidden="false" customHeight="false" outlineLevel="0" collapsed="false">
      <c r="A17" s="9" t="s">
        <v>480</v>
      </c>
      <c r="B17" s="9" t="s">
        <v>404</v>
      </c>
      <c r="C17" s="39" t="n">
        <f aca="false">ROUNDUP(Estações!$M$44*(1+Premissas!$B$26),0)</f>
        <v>14</v>
      </c>
      <c r="D17" s="39" t="n">
        <f aca="false">ROUNDUP(Estações!$M$43*(1+Premissas!$B$26),0)</f>
        <v>277</v>
      </c>
      <c r="E17" s="37" t="n">
        <f aca="false">Preços!$D$30</f>
        <v>622.08185</v>
      </c>
      <c r="F17" s="31" t="n">
        <f aca="false">C17*E17</f>
        <v>8709.1459</v>
      </c>
      <c r="G17" s="31" t="n">
        <f aca="false">D17*E17</f>
        <v>172316.67245</v>
      </c>
    </row>
    <row r="18" customFormat="false" ht="15" hidden="false" customHeight="false" outlineLevel="0" collapsed="false">
      <c r="A18" s="9" t="s">
        <v>481</v>
      </c>
      <c r="B18" s="9" t="s">
        <v>151</v>
      </c>
      <c r="C18" s="39" t="n">
        <f aca="false">Estações!$O$44</f>
        <v>2</v>
      </c>
      <c r="D18" s="39" t="n">
        <f aca="false">Estações!$O$43</f>
        <v>40</v>
      </c>
      <c r="E18" s="37" t="n">
        <f aca="false">Preços!$D$31</f>
        <v>2105.5078</v>
      </c>
      <c r="F18" s="31" t="n">
        <f aca="false">C18*E18</f>
        <v>4211.0156</v>
      </c>
      <c r="G18" s="31" t="n">
        <f aca="false">D18*E18</f>
        <v>84220.312</v>
      </c>
    </row>
    <row r="19" customFormat="false" ht="15" hidden="false" customHeight="false" outlineLevel="0" collapsed="false">
      <c r="A19" s="9" t="s">
        <v>482</v>
      </c>
      <c r="B19" s="9" t="s">
        <v>151</v>
      </c>
      <c r="C19" s="39" t="n">
        <f aca="false">Estações!$O$44</f>
        <v>2</v>
      </c>
      <c r="D19" s="39" t="n">
        <f aca="false">Estações!$O$43</f>
        <v>40</v>
      </c>
      <c r="E19" s="37" t="n">
        <f aca="false">Preços!$D$7+Preços!$D$17+Preços!$D$18+Preços!$D$37*3+Preços!$D$38*1+Preços!$D$39*1</f>
        <v>399.3793</v>
      </c>
      <c r="F19" s="31" t="n">
        <f aca="false">C19*E19</f>
        <v>798.7586</v>
      </c>
      <c r="G19" s="31" t="n">
        <f aca="false">D19*E19</f>
        <v>15975.172</v>
      </c>
    </row>
    <row r="20" customFormat="false" ht="15" hidden="false" customHeight="false" outlineLevel="0" collapsed="false">
      <c r="A20" s="9" t="s">
        <v>464</v>
      </c>
      <c r="B20" s="9" t="s">
        <v>465</v>
      </c>
      <c r="C20" s="39" t="n">
        <f aca="false">Estações!$F$44*Premissas!$B$43+Estações!$M$44*Premissas!$B$29+Estações!$O$44*2*Premissas!$B$30</f>
        <v>124</v>
      </c>
      <c r="D20" s="39" t="n">
        <f aca="false">Estações!$F$43*Premissas!$B$43+Estações!$M$43*Premissas!$B$29+Estações!$O$43*2*Premissas!$B$30</f>
        <v>2513</v>
      </c>
      <c r="E20" s="37" t="n">
        <f aca="false">Preços!$D$13</f>
        <v>4.03085245901639</v>
      </c>
      <c r="F20" s="31" t="n">
        <f aca="false">C20*E20</f>
        <v>499.825704918033</v>
      </c>
      <c r="G20" s="31" t="n">
        <f aca="false">D20*E20</f>
        <v>10129.5322295082</v>
      </c>
    </row>
    <row r="21" customFormat="false" ht="15" hidden="false" customHeight="false" outlineLevel="0" collapsed="false">
      <c r="A21" s="9" t="s">
        <v>409</v>
      </c>
      <c r="B21" s="9" t="s">
        <v>466</v>
      </c>
      <c r="C21" s="39" t="n">
        <f aca="false">(Estações!$F$44+Estações!$M$44)*2+Estações!$O$44*4</f>
        <v>160</v>
      </c>
      <c r="D21" s="39" t="n">
        <f aca="false">(Estações!$F$43+Estações!$M$43)*2+Estações!$O$43*4</f>
        <v>3222</v>
      </c>
      <c r="E21" s="37" t="n">
        <f aca="false">Preços!$D$12</f>
        <v>0.8</v>
      </c>
      <c r="F21" s="31" t="n">
        <f aca="false">C21*E21</f>
        <v>128</v>
      </c>
      <c r="G21" s="31" t="n">
        <f aca="false">D21*E21</f>
        <v>2577.6</v>
      </c>
    </row>
    <row r="22" customFormat="false" ht="23.85" hidden="false" customHeight="false" outlineLevel="0" collapsed="false">
      <c r="A22" s="9" t="s">
        <v>467</v>
      </c>
      <c r="B22" s="9" t="s">
        <v>468</v>
      </c>
      <c r="C22" s="13"/>
      <c r="D22" s="13"/>
      <c r="E22" s="13"/>
      <c r="F22" s="37" t="n">
        <f aca="false">SUM('A-Interno'!F9:F19)</f>
        <v>4404.96344262295</v>
      </c>
      <c r="G22" s="37" t="n">
        <f aca="false">SUM('A-Interno'!G9:G19)</f>
        <v>33187.4713114754</v>
      </c>
    </row>
    <row r="23" customFormat="false" ht="15" hidden="false" customHeight="false" outlineLevel="0" collapsed="false">
      <c r="A23" s="9" t="s">
        <v>473</v>
      </c>
      <c r="B23" s="9" t="s">
        <v>474</v>
      </c>
      <c r="C23" s="21" t="n">
        <f aca="false">(Estações!$O$44*Premissas!$B$16+Estações!$F$44*Premissas!$B$17+Estações!$M$44*Premissas!$B$19+'A-Interno'!C9*Premissas!$B$20+Estações!$O$44*Premissas!$B$21)*Premissas!$B$22</f>
        <v>51.18</v>
      </c>
      <c r="D23" s="21" t="n">
        <f aca="false">(Estações!$O$43*Premissas!$B$16+Estações!$F$43*Premissas!$B$17+Estações!$M$43*Premissas!$B$19+'A-Interno'!D9*Premissas!$B$20+Estações!$O$43*Premissas!$B$21)*Premissas!$B$22</f>
        <v>1029.375</v>
      </c>
      <c r="E23" s="37" t="n">
        <f aca="false">Premissas!$B$9</f>
        <v>34.9305521472393</v>
      </c>
      <c r="F23" s="31" t="n">
        <f aca="false">C23*E23</f>
        <v>1787.74565889571</v>
      </c>
      <c r="G23" s="31" t="n">
        <f aca="false">D23*E23</f>
        <v>35956.6371165644</v>
      </c>
    </row>
    <row r="24" customFormat="false" ht="15" hidden="false" customHeight="false" outlineLevel="0" collapsed="false">
      <c r="A24" s="9" t="s">
        <v>475</v>
      </c>
      <c r="B24" s="9" t="s">
        <v>468</v>
      </c>
      <c r="C24" s="13"/>
      <c r="D24" s="13"/>
      <c r="E24" s="13"/>
      <c r="F24" s="37" t="n">
        <f aca="false">SUM('A-Interno'!F30:F31)</f>
        <v>756.149202453988</v>
      </c>
      <c r="G24" s="37" t="n">
        <f aca="false">SUM('A-Interno'!G30:G31)</f>
        <v>4504.09619631902</v>
      </c>
    </row>
    <row r="25" customFormat="false" ht="15" hidden="false" customHeight="false" outlineLevel="0" collapsed="false">
      <c r="A25" s="14" t="s">
        <v>483</v>
      </c>
      <c r="B25" s="16"/>
      <c r="C25" s="16"/>
      <c r="D25" s="16"/>
      <c r="E25" s="16"/>
      <c r="F25" s="38" t="n">
        <f aca="false">SUM(F16:F24)</f>
        <v>41680.7478088907</v>
      </c>
      <c r="G25" s="38" t="n">
        <f aca="false">SUM(G16:G24)</f>
        <v>763124.990903867</v>
      </c>
    </row>
    <row r="27" customFormat="false" ht="15" hidden="false" customHeight="false" outlineLevel="0" collapsed="false">
      <c r="A27" s="6" t="s">
        <v>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8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18"/>
  </cols>
  <sheetData>
    <row r="1" customFormat="false" ht="31.5" hidden="false" customHeight="true" outlineLevel="0" collapsed="false">
      <c r="A1" s="7" t="s">
        <v>236</v>
      </c>
      <c r="B1" s="7" t="s">
        <v>393</v>
      </c>
      <c r="C1" s="7" t="s">
        <v>394</v>
      </c>
      <c r="D1" s="7" t="s">
        <v>395</v>
      </c>
      <c r="E1" s="7" t="s">
        <v>375</v>
      </c>
      <c r="F1" s="7" t="s">
        <v>396</v>
      </c>
      <c r="G1" s="7" t="s">
        <v>397</v>
      </c>
    </row>
    <row r="2" customFormat="false" ht="15" hidden="false" customHeight="false" outlineLevel="0" collapsed="false">
      <c r="A2" s="12" t="s">
        <v>485</v>
      </c>
    </row>
    <row r="3" customFormat="false" ht="15" hidden="false" customHeight="false" outlineLevel="0" collapsed="false">
      <c r="A3" s="9" t="s">
        <v>486</v>
      </c>
      <c r="B3" s="9" t="s">
        <v>487</v>
      </c>
      <c r="C3" s="39" t="n">
        <f aca="false">ROUNDUP(Premissas!$B$40*Estações!$O$44/Estações!$O$43,0)</f>
        <v>250</v>
      </c>
      <c r="D3" s="39" t="n">
        <f aca="false">Premissas!$B$40</f>
        <v>5000</v>
      </c>
      <c r="E3" s="37" t="n">
        <f aca="false">Composição!$F$60</f>
        <v>2.87</v>
      </c>
      <c r="F3" s="31" t="n">
        <f aca="false">C3*E3</f>
        <v>717.5</v>
      </c>
      <c r="G3" s="31" t="n">
        <f aca="false">D3*E3</f>
        <v>14350</v>
      </c>
    </row>
    <row r="4" customFormat="false" ht="15" hidden="false" customHeight="false" outlineLevel="0" collapsed="false">
      <c r="A4" s="9" t="s">
        <v>488</v>
      </c>
      <c r="B4" s="9" t="s">
        <v>489</v>
      </c>
      <c r="C4" s="21" t="n">
        <f aca="false">C3*30/3600</f>
        <v>2.08333333333333</v>
      </c>
      <c r="D4" s="21" t="n">
        <f aca="false">D3*30/3600</f>
        <v>41.6666666666667</v>
      </c>
      <c r="E4" s="37" t="n">
        <f aca="false">Premissas!$B$9</f>
        <v>34.9305521472393</v>
      </c>
      <c r="F4" s="31" t="n">
        <f aca="false">C4*E4</f>
        <v>72.7719836400818</v>
      </c>
      <c r="G4" s="31" t="n">
        <f aca="false">D4*E4</f>
        <v>1455.43967280164</v>
      </c>
    </row>
    <row r="5" customFormat="false" ht="15" hidden="false" customHeight="false" outlineLevel="0" collapsed="false">
      <c r="A5" s="9" t="s">
        <v>490</v>
      </c>
      <c r="B5" s="9" t="s">
        <v>491</v>
      </c>
      <c r="C5" s="39" t="n">
        <f aca="false">ROUNDUP(Estações!$O$44*Premissas!$B$41,0)</f>
        <v>5</v>
      </c>
      <c r="D5" s="39" t="n">
        <f aca="false">ROUNDUP(Estações!$O$43*Premissas!$B$41,0)</f>
        <v>88</v>
      </c>
      <c r="E5" s="37" t="n">
        <f aca="false">Composição!$F$56</f>
        <v>127.54</v>
      </c>
      <c r="F5" s="31" t="n">
        <f aca="false">C5*E5</f>
        <v>637.7</v>
      </c>
      <c r="G5" s="31" t="n">
        <f aca="false">D5*E5</f>
        <v>11223.52</v>
      </c>
    </row>
    <row r="6" customFormat="false" ht="15" hidden="false" customHeight="false" outlineLevel="0" collapsed="false">
      <c r="A6" s="9" t="s">
        <v>492</v>
      </c>
      <c r="B6" s="9" t="s">
        <v>493</v>
      </c>
      <c r="C6" s="39" t="n">
        <f aca="false">Estações!$O$44</f>
        <v>2</v>
      </c>
      <c r="D6" s="39" t="n">
        <f aca="false">Estações!$O$43</f>
        <v>40</v>
      </c>
      <c r="E6" s="37" t="n">
        <f aca="false">Preços!$D$44</f>
        <v>35</v>
      </c>
      <c r="F6" s="31" t="n">
        <f aca="false">C6*E6</f>
        <v>70</v>
      </c>
      <c r="G6" s="31" t="n">
        <f aca="false">D6*E6</f>
        <v>1400</v>
      </c>
    </row>
    <row r="7" customFormat="false" ht="15" hidden="false" customHeight="false" outlineLevel="0" collapsed="false">
      <c r="A7" s="9" t="s">
        <v>494</v>
      </c>
      <c r="B7" s="9" t="s">
        <v>495</v>
      </c>
      <c r="C7" s="21" t="n">
        <f aca="false">C5*1.5</f>
        <v>7.5</v>
      </c>
      <c r="D7" s="21" t="n">
        <f aca="false">D5*1.5</f>
        <v>132</v>
      </c>
      <c r="E7" s="37" t="n">
        <f aca="false">Premissas!$B$9</f>
        <v>34.9305521472393</v>
      </c>
      <c r="F7" s="31" t="n">
        <f aca="false">C7*E7</f>
        <v>261.979141104295</v>
      </c>
      <c r="G7" s="31" t="n">
        <f aca="false">D7*E7</f>
        <v>4610.83288343558</v>
      </c>
    </row>
    <row r="8" customFormat="false" ht="15" hidden="false" customHeight="false" outlineLevel="0" collapsed="false">
      <c r="A8" s="14" t="s">
        <v>496</v>
      </c>
      <c r="B8" s="16"/>
      <c r="C8" s="16"/>
      <c r="D8" s="16"/>
      <c r="E8" s="16"/>
      <c r="F8" s="38" t="n">
        <f aca="false">SUM(F3:F7)</f>
        <v>1759.95112474438</v>
      </c>
      <c r="G8" s="38" t="n">
        <f aca="false">SUM(G3:G7)</f>
        <v>33039.7925562372</v>
      </c>
    </row>
    <row r="10" customFormat="false" ht="15" hidden="false" customHeight="false" outlineLevel="0" collapsed="false">
      <c r="A10" s="9" t="s">
        <v>497</v>
      </c>
      <c r="B10" s="9" t="s">
        <v>498</v>
      </c>
      <c r="C10" s="13"/>
      <c r="D10" s="13"/>
      <c r="E10" s="13"/>
      <c r="F10" s="37" t="n">
        <f aca="false">'A-Interno'!F34+F8</f>
        <v>20971.4485461656</v>
      </c>
      <c r="G10" s="37" t="n">
        <f aca="false">'A-Interno'!G34+G8</f>
        <v>337795.284586661</v>
      </c>
    </row>
    <row r="12" customFormat="false" ht="23.85" hidden="false" customHeight="false" outlineLevel="0" collapsed="false">
      <c r="A12" s="9" t="s">
        <v>499</v>
      </c>
      <c r="B12" s="9" t="s">
        <v>500</v>
      </c>
      <c r="C12" s="39" t="n">
        <f aca="false">C5</f>
        <v>5</v>
      </c>
      <c r="D12" s="39" t="n">
        <f aca="false">D5</f>
        <v>88</v>
      </c>
      <c r="E12" s="37" t="n">
        <f aca="false">Preços!$D$36</f>
        <v>9541.77853</v>
      </c>
      <c r="F12" s="31" t="n">
        <f aca="false">C12*E12</f>
        <v>47708.89265</v>
      </c>
      <c r="G12" s="31" t="n">
        <f aca="false">D12*E12</f>
        <v>839676.51064</v>
      </c>
    </row>
    <row r="14" customFormat="false" ht="15" hidden="false" customHeight="false" outlineLevel="0" collapsed="false">
      <c r="A14" s="6" t="s">
        <v>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72"/>
  </cols>
  <sheetData>
    <row r="1" customFormat="false" ht="31.5" hidden="false" customHeight="true" outlineLevel="0" collapsed="false">
      <c r="A1" s="7" t="s">
        <v>502</v>
      </c>
      <c r="B1" s="7" t="s">
        <v>503</v>
      </c>
      <c r="C1" s="7" t="s">
        <v>504</v>
      </c>
      <c r="D1" s="7" t="s">
        <v>505</v>
      </c>
      <c r="E1" s="7" t="s">
        <v>506</v>
      </c>
    </row>
    <row r="2" customFormat="false" ht="15" hidden="false" customHeight="false" outlineLevel="0" collapsed="false">
      <c r="A2" s="9" t="s">
        <v>507</v>
      </c>
      <c r="B2" s="13" t="s">
        <v>508</v>
      </c>
      <c r="C2" s="20" t="n">
        <v>240</v>
      </c>
      <c r="D2" s="11" t="n">
        <f aca="false">C2*Premissas!$B$10</f>
        <v>24907.8773006135</v>
      </c>
      <c r="E2" s="9" t="s">
        <v>509</v>
      </c>
    </row>
    <row r="3" customFormat="false" ht="15" hidden="false" customHeight="false" outlineLevel="0" collapsed="false">
      <c r="A3" s="9" t="s">
        <v>510</v>
      </c>
      <c r="B3" s="13" t="s">
        <v>508</v>
      </c>
      <c r="C3" s="20" t="n">
        <v>120</v>
      </c>
      <c r="D3" s="11" t="n">
        <f aca="false">C3*Premissas!$B$10</f>
        <v>12453.9386503067</v>
      </c>
      <c r="E3" s="9" t="s">
        <v>511</v>
      </c>
    </row>
    <row r="4" customFormat="false" ht="15" hidden="false" customHeight="false" outlineLevel="0" collapsed="false">
      <c r="A4" s="9" t="s">
        <v>512</v>
      </c>
      <c r="B4" s="13" t="s">
        <v>508</v>
      </c>
      <c r="C4" s="20" t="n">
        <v>60</v>
      </c>
      <c r="D4" s="11" t="n">
        <f aca="false">C4*Premissas!$B$10</f>
        <v>6226.96932515337</v>
      </c>
      <c r="E4" s="9" t="s">
        <v>513</v>
      </c>
    </row>
    <row r="5" customFormat="false" ht="15" hidden="false" customHeight="false" outlineLevel="0" collapsed="false">
      <c r="A5" s="9" t="s">
        <v>514</v>
      </c>
      <c r="B5" s="13" t="s">
        <v>515</v>
      </c>
      <c r="C5" s="20" t="n">
        <v>160</v>
      </c>
      <c r="D5" s="11" t="n">
        <f aca="false">C5*Premissas!$B$10</f>
        <v>16605.2515337423</v>
      </c>
      <c r="E5" s="9" t="s">
        <v>516</v>
      </c>
    </row>
    <row r="6" customFormat="false" ht="15" hidden="false" customHeight="false" outlineLevel="0" collapsed="false">
      <c r="A6" s="9" t="s">
        <v>517</v>
      </c>
      <c r="B6" s="13" t="s">
        <v>518</v>
      </c>
      <c r="C6" s="20" t="n">
        <v>80</v>
      </c>
      <c r="D6" s="11" t="n">
        <f aca="false">C6*Premissas!$B$10</f>
        <v>8302.62576687117</v>
      </c>
      <c r="E6" s="9" t="s">
        <v>519</v>
      </c>
    </row>
    <row r="7" customFormat="false" ht="23.85" hidden="false" customHeight="false" outlineLevel="0" collapsed="false">
      <c r="A7" s="9" t="s">
        <v>520</v>
      </c>
      <c r="B7" s="13" t="s">
        <v>508</v>
      </c>
      <c r="C7" s="20" t="n">
        <v>120</v>
      </c>
      <c r="D7" s="11" t="n">
        <f aca="false">C7*Premissas!$B$10</f>
        <v>12453.9386503067</v>
      </c>
      <c r="E7" s="9" t="s">
        <v>521</v>
      </c>
    </row>
    <row r="8" customFormat="false" ht="15" hidden="false" customHeight="false" outlineLevel="0" collapsed="false">
      <c r="A8" s="9" t="s">
        <v>522</v>
      </c>
      <c r="B8" s="13" t="s">
        <v>508</v>
      </c>
      <c r="C8" s="20" t="n">
        <v>100</v>
      </c>
      <c r="D8" s="11" t="n">
        <f aca="false">C8*Premissas!$B$10</f>
        <v>10378.282208589</v>
      </c>
      <c r="E8" s="9" t="s">
        <v>523</v>
      </c>
    </row>
    <row r="9" customFormat="false" ht="15" hidden="false" customHeight="false" outlineLevel="0" collapsed="false">
      <c r="A9" s="9" t="s">
        <v>524</v>
      </c>
      <c r="B9" s="13" t="s">
        <v>525</v>
      </c>
      <c r="C9" s="20" t="n">
        <v>80</v>
      </c>
      <c r="D9" s="11" t="n">
        <f aca="false">C9*Premissas!$B$10</f>
        <v>8302.62576687117</v>
      </c>
      <c r="E9" s="9" t="s">
        <v>526</v>
      </c>
    </row>
    <row r="10" customFormat="false" ht="15" hidden="false" customHeight="false" outlineLevel="0" collapsed="false">
      <c r="A10" s="9" t="s">
        <v>527</v>
      </c>
      <c r="B10" s="13" t="s">
        <v>508</v>
      </c>
      <c r="C10" s="20" t="n">
        <v>120</v>
      </c>
      <c r="D10" s="11" t="n">
        <f aca="false">C10*Premissas!$B$10</f>
        <v>12453.9386503067</v>
      </c>
      <c r="E10" s="9" t="s">
        <v>528</v>
      </c>
    </row>
    <row r="11" customFormat="false" ht="23.85" hidden="false" customHeight="false" outlineLevel="0" collapsed="false">
      <c r="A11" s="9" t="s">
        <v>529</v>
      </c>
      <c r="B11" s="13" t="s">
        <v>508</v>
      </c>
      <c r="C11" s="20" t="n">
        <v>40</v>
      </c>
      <c r="D11" s="11" t="n">
        <f aca="false">C11*Premissas!$B$10</f>
        <v>4151.31288343558</v>
      </c>
      <c r="E11" s="9" t="s">
        <v>530</v>
      </c>
    </row>
    <row r="12" customFormat="false" ht="23.85" hidden="false" customHeight="false" outlineLevel="0" collapsed="false">
      <c r="A12" s="9" t="s">
        <v>531</v>
      </c>
      <c r="B12" s="13" t="s">
        <v>508</v>
      </c>
      <c r="C12" s="20" t="n">
        <v>24</v>
      </c>
      <c r="D12" s="11" t="n">
        <f aca="false">C12*Premissas!$B$10</f>
        <v>2490.78773006135</v>
      </c>
      <c r="E12" s="9" t="s">
        <v>532</v>
      </c>
    </row>
    <row r="13" customFormat="false" ht="15" hidden="false" customHeight="false" outlineLevel="0" collapsed="false">
      <c r="A13" s="9" t="s">
        <v>533</v>
      </c>
      <c r="B13" s="13" t="s">
        <v>508</v>
      </c>
      <c r="C13" s="20" t="n">
        <v>120</v>
      </c>
      <c r="D13" s="11" t="n">
        <f aca="false">C13*Premissas!$B$10</f>
        <v>12453.9386503067</v>
      </c>
      <c r="E13" s="9" t="s">
        <v>534</v>
      </c>
    </row>
    <row r="14" customFormat="false" ht="15" hidden="false" customHeight="false" outlineLevel="0" collapsed="false">
      <c r="A14" s="9" t="s">
        <v>535</v>
      </c>
      <c r="B14" s="13" t="s">
        <v>508</v>
      </c>
      <c r="C14" s="20" t="n">
        <v>40</v>
      </c>
      <c r="D14" s="11" t="n">
        <f aca="false">C14*Premissas!$B$10</f>
        <v>4151.31288343558</v>
      </c>
      <c r="E14" s="9" t="s">
        <v>536</v>
      </c>
    </row>
    <row r="15" customFormat="false" ht="15" hidden="false" customHeight="false" outlineLevel="0" collapsed="false">
      <c r="A15" s="14" t="s">
        <v>537</v>
      </c>
      <c r="B15" s="16"/>
      <c r="C15" s="42" t="n">
        <f aca="false">SUMIF(B2:B14,"A e B",C2:C14)+SUMIF(B2:B14,"A",C2:C14)</f>
        <v>1144</v>
      </c>
      <c r="D15" s="17" t="n">
        <f aca="false">C15*Premissas!$B$10</f>
        <v>118727.548466258</v>
      </c>
      <c r="E15" s="15" t="s">
        <v>538</v>
      </c>
    </row>
    <row r="16" customFormat="false" ht="15" hidden="false" customHeight="false" outlineLevel="0" collapsed="false">
      <c r="A16" s="14" t="s">
        <v>539</v>
      </c>
      <c r="B16" s="16"/>
      <c r="C16" s="42" t="n">
        <f aca="false">SUMIF(B2:B14,"RFID",C2:C14)</f>
        <v>80</v>
      </c>
      <c r="D16" s="17" t="n">
        <f aca="false">C16*Premissas!$B$10</f>
        <v>8302.62576687117</v>
      </c>
      <c r="E16" s="16"/>
    </row>
    <row r="18" customFormat="false" ht="15" hidden="false" customHeight="false" outlineLevel="0" collapsed="false">
      <c r="A18" s="6" t="s">
        <v>540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5" min="4" style="0" width="16"/>
  </cols>
  <sheetData>
    <row r="1" customFormat="false" ht="17.35" hidden="false" customHeight="false" outlineLevel="0" collapsed="false">
      <c r="A1" s="5" t="s">
        <v>541</v>
      </c>
    </row>
    <row r="2" customFormat="false" ht="15" hidden="false" customHeight="false" outlineLevel="0" collapsed="false">
      <c r="A2" s="6" t="s">
        <v>542</v>
      </c>
    </row>
    <row r="3" customFormat="false" ht="31.5" hidden="false" customHeight="true" outlineLevel="0" collapsed="false">
      <c r="A3" s="7" t="s">
        <v>236</v>
      </c>
      <c r="B3" s="7" t="s">
        <v>393</v>
      </c>
      <c r="C3" s="7" t="s">
        <v>543</v>
      </c>
      <c r="D3" s="7" t="s">
        <v>375</v>
      </c>
      <c r="E3" s="7" t="s">
        <v>544</v>
      </c>
    </row>
    <row r="4" customFormat="false" ht="15" hidden="false" customHeight="false" outlineLevel="0" collapsed="false">
      <c r="A4" s="12" t="s">
        <v>545</v>
      </c>
    </row>
    <row r="5" customFormat="false" ht="15" hidden="false" customHeight="false" outlineLevel="0" collapsed="false">
      <c r="A5" s="9" t="s">
        <v>546</v>
      </c>
      <c r="B5" s="9" t="s">
        <v>547</v>
      </c>
      <c r="C5" s="43" t="n">
        <v>1</v>
      </c>
      <c r="D5" s="37" t="n">
        <f aca="false">Composição!$F$39</f>
        <v>549.810425</v>
      </c>
      <c r="E5" s="31" t="n">
        <f aca="false">C5*D5</f>
        <v>549.810425</v>
      </c>
    </row>
    <row r="6" customFormat="false" ht="15" hidden="false" customHeight="false" outlineLevel="0" collapsed="false">
      <c r="A6" s="9" t="s">
        <v>379</v>
      </c>
      <c r="B6" s="9" t="s">
        <v>548</v>
      </c>
      <c r="C6" s="43" t="n">
        <v>1</v>
      </c>
      <c r="D6" s="37" t="n">
        <f aca="false">Composição!$F$16</f>
        <v>96.8</v>
      </c>
      <c r="E6" s="31" t="n">
        <f aca="false">C6*D6</f>
        <v>96.8</v>
      </c>
    </row>
    <row r="7" customFormat="false" ht="15" hidden="false" customHeight="false" outlineLevel="0" collapsed="false">
      <c r="A7" s="9" t="s">
        <v>549</v>
      </c>
      <c r="B7" s="9" t="s">
        <v>550</v>
      </c>
      <c r="C7" s="43" t="n">
        <v>4</v>
      </c>
      <c r="D7" s="37" t="n">
        <f aca="false">Composição!$F$8</f>
        <v>45.1417049180328</v>
      </c>
      <c r="E7" s="31" t="n">
        <f aca="false">C7*D7</f>
        <v>180.566819672131</v>
      </c>
    </row>
    <row r="8" customFormat="false" ht="15" hidden="false" customHeight="false" outlineLevel="0" collapsed="false">
      <c r="A8" s="9" t="s">
        <v>180</v>
      </c>
      <c r="B8" s="9" t="s">
        <v>551</v>
      </c>
      <c r="C8" s="43" t="n">
        <v>2</v>
      </c>
      <c r="D8" s="37" t="n">
        <f aca="false">Composição!$F$27</f>
        <v>134.95</v>
      </c>
      <c r="E8" s="31" t="n">
        <f aca="false">C8*D8</f>
        <v>269.9</v>
      </c>
    </row>
    <row r="9" customFormat="false" ht="15" hidden="false" customHeight="false" outlineLevel="0" collapsed="false">
      <c r="A9" s="9" t="s">
        <v>415</v>
      </c>
      <c r="B9" s="9" t="s">
        <v>552</v>
      </c>
      <c r="C9" s="43" t="n">
        <v>1</v>
      </c>
      <c r="D9" s="37" t="n">
        <f aca="false">Preços!$D$48</f>
        <v>45</v>
      </c>
      <c r="E9" s="31" t="n">
        <f aca="false">C9*D9</f>
        <v>45</v>
      </c>
    </row>
    <row r="10" customFormat="false" ht="15" hidden="false" customHeight="false" outlineLevel="0" collapsed="false">
      <c r="A10" s="9" t="s">
        <v>553</v>
      </c>
      <c r="B10" s="9" t="s">
        <v>554</v>
      </c>
      <c r="C10" s="43" t="n">
        <v>20</v>
      </c>
      <c r="D10" s="37" t="n">
        <f aca="false">Preços!$D$13</f>
        <v>4.03085245901639</v>
      </c>
      <c r="E10" s="31" t="n">
        <f aca="false">C10*D10</f>
        <v>80.6170491803279</v>
      </c>
    </row>
    <row r="11" customFormat="false" ht="15" hidden="false" customHeight="false" outlineLevel="0" collapsed="false">
      <c r="A11" s="9" t="s">
        <v>555</v>
      </c>
      <c r="B11" s="9"/>
      <c r="C11" s="43" t="n">
        <v>20</v>
      </c>
      <c r="D11" s="37" t="n">
        <f aca="false">Preços!$D$12</f>
        <v>0.8</v>
      </c>
      <c r="E11" s="31" t="n">
        <f aca="false">C11*D11</f>
        <v>16</v>
      </c>
    </row>
    <row r="12" customFormat="false" ht="15" hidden="false" customHeight="false" outlineLevel="0" collapsed="false">
      <c r="A12" s="9" t="s">
        <v>556</v>
      </c>
      <c r="B12" s="9" t="s">
        <v>557</v>
      </c>
      <c r="C12" s="43" t="n">
        <v>1</v>
      </c>
      <c r="D12" s="37" t="n">
        <f aca="false">Preços!$D$46</f>
        <v>150</v>
      </c>
      <c r="E12" s="31" t="n">
        <f aca="false">C12*D12</f>
        <v>150</v>
      </c>
    </row>
    <row r="13" customFormat="false" ht="15" hidden="false" customHeight="false" outlineLevel="0" collapsed="false">
      <c r="A13" s="9" t="s">
        <v>558</v>
      </c>
      <c r="B13" s="9" t="s">
        <v>559</v>
      </c>
      <c r="C13" s="43" t="n">
        <v>1</v>
      </c>
      <c r="D13" s="37" t="n">
        <f aca="false">Preços!$D$47</f>
        <v>90</v>
      </c>
      <c r="E13" s="31" t="n">
        <f aca="false">C13*D13</f>
        <v>90</v>
      </c>
    </row>
    <row r="14" customFormat="false" ht="15" hidden="false" customHeight="false" outlineLevel="0" collapsed="false">
      <c r="A14" s="9" t="s">
        <v>428</v>
      </c>
      <c r="B14" s="9" t="s">
        <v>560</v>
      </c>
      <c r="C14" s="43" t="n">
        <v>1</v>
      </c>
      <c r="D14" s="37" t="n">
        <f aca="false">Preços!$D$40</f>
        <v>285.99</v>
      </c>
      <c r="E14" s="31" t="n">
        <f aca="false">C14*D14</f>
        <v>285.99</v>
      </c>
    </row>
    <row r="15" customFormat="false" ht="15" hidden="false" customHeight="false" outlineLevel="0" collapsed="false">
      <c r="A15" s="9" t="s">
        <v>430</v>
      </c>
      <c r="B15" s="9" t="s">
        <v>561</v>
      </c>
      <c r="C15" s="43" t="n">
        <v>1</v>
      </c>
      <c r="D15" s="37" t="n">
        <f aca="false">Preços!$D$41</f>
        <v>700</v>
      </c>
      <c r="E15" s="31" t="n">
        <f aca="false">C15*D15</f>
        <v>700</v>
      </c>
    </row>
    <row r="16" customFormat="false" ht="15" hidden="false" customHeight="false" outlineLevel="0" collapsed="false">
      <c r="A16" s="13" t="s">
        <v>431</v>
      </c>
      <c r="B16" s="13" t="s">
        <v>562</v>
      </c>
      <c r="C16" s="13"/>
      <c r="D16" s="40" t="n">
        <f aca="false">Premissas!$B$27</f>
        <v>0.05</v>
      </c>
      <c r="E16" s="31" t="n">
        <f aca="false">D16*SUM(E5:E15)</f>
        <v>123.234214692623</v>
      </c>
    </row>
    <row r="17" customFormat="false" ht="15" hidden="false" customHeight="false" outlineLevel="0" collapsed="false">
      <c r="A17" s="9" t="s">
        <v>563</v>
      </c>
      <c r="B17" s="9" t="s">
        <v>564</v>
      </c>
      <c r="C17" s="21" t="n">
        <f aca="false">Premissas!$B$15+Premissas!$B$13+4*Premissas!$B$12+2*Premissas!$B$14</f>
        <v>5.75</v>
      </c>
      <c r="D17" s="37" t="n">
        <f aca="false">Premissas!$B$9</f>
        <v>34.9305521472393</v>
      </c>
      <c r="E17" s="31" t="n">
        <f aca="false">C17*D17</f>
        <v>200.850674846626</v>
      </c>
    </row>
    <row r="18" customFormat="false" ht="23.85" hidden="false" customHeight="false" outlineLevel="0" collapsed="false">
      <c r="A18" s="9" t="s">
        <v>565</v>
      </c>
      <c r="B18" s="9" t="s">
        <v>566</v>
      </c>
      <c r="C18" s="18" t="n">
        <v>16</v>
      </c>
      <c r="D18" s="37" t="n">
        <f aca="false">Premissas!$B$9</f>
        <v>34.9305521472393</v>
      </c>
      <c r="E18" s="31" t="n">
        <f aca="false">C18*D18</f>
        <v>558.888834355828</v>
      </c>
    </row>
    <row r="19" customFormat="false" ht="15" hidden="false" customHeight="false" outlineLevel="0" collapsed="false">
      <c r="A19" s="14" t="s">
        <v>567</v>
      </c>
      <c r="B19" s="16"/>
      <c r="C19" s="16"/>
      <c r="D19" s="16"/>
      <c r="E19" s="38" t="n">
        <f aca="false">SUM(E5:E18)</f>
        <v>3347.65801774754</v>
      </c>
    </row>
    <row r="21" customFormat="false" ht="15" hidden="false" customHeight="false" outlineLevel="0" collapsed="false">
      <c r="A21" s="12" t="s">
        <v>568</v>
      </c>
    </row>
    <row r="22" customFormat="false" ht="15" hidden="false" customHeight="false" outlineLevel="0" collapsed="false">
      <c r="A22" s="13" t="s">
        <v>569</v>
      </c>
      <c r="B22" s="9" t="s">
        <v>570</v>
      </c>
      <c r="C22" s="13"/>
      <c r="D22" s="13"/>
      <c r="E22" s="37" t="n">
        <f aca="false">'A-Interno'!F34</f>
        <v>19211.4974214212</v>
      </c>
    </row>
    <row r="23" customFormat="false" ht="15" hidden="false" customHeight="false" outlineLevel="0" collapsed="false">
      <c r="A23" s="13" t="s">
        <v>571</v>
      </c>
      <c r="B23" s="13" t="s">
        <v>572</v>
      </c>
      <c r="C23" s="13"/>
      <c r="D23" s="13"/>
      <c r="E23" s="31" t="n">
        <f aca="false">-('A-Interno'!F18+'A-Interno'!F19)*(1+Premissas!$B$27)</f>
        <v>-1035.2895</v>
      </c>
    </row>
    <row r="24" customFormat="false" ht="23.85" hidden="false" customHeight="false" outlineLevel="0" collapsed="false">
      <c r="A24" s="13" t="s">
        <v>573</v>
      </c>
      <c r="B24" s="9" t="s">
        <v>574</v>
      </c>
      <c r="C24" s="13"/>
      <c r="D24" s="13"/>
      <c r="E24" s="31" t="n">
        <f aca="false">-(Composição!$F$39+Composição!$F$16+4*Composição!$F$8+2*Composição!$F$27)</f>
        <v>-1097.07724467213</v>
      </c>
    </row>
    <row r="25" customFormat="false" ht="15" hidden="false" customHeight="false" outlineLevel="0" collapsed="false">
      <c r="A25" s="14" t="s">
        <v>575</v>
      </c>
      <c r="B25" s="16"/>
      <c r="C25" s="16"/>
      <c r="D25" s="16"/>
      <c r="E25" s="38" t="n">
        <f aca="false">SUM(E22:E24)</f>
        <v>17079.1306767491</v>
      </c>
    </row>
    <row r="27" customFormat="false" ht="15" hidden="false" customHeight="false" outlineLevel="0" collapsed="false">
      <c r="A27" s="14" t="s">
        <v>576</v>
      </c>
      <c r="B27" s="16"/>
      <c r="C27" s="16"/>
      <c r="D27" s="16"/>
      <c r="E27" s="38" t="n">
        <f aca="false">E19+E25</f>
        <v>20426.7886944966</v>
      </c>
    </row>
    <row r="28" customFormat="false" ht="15" hidden="false" customHeight="false" outlineLevel="0" collapsed="false">
      <c r="A28" s="13" t="s">
        <v>577</v>
      </c>
      <c r="B28" s="13" t="s">
        <v>578</v>
      </c>
      <c r="C28" s="13"/>
      <c r="D28" s="40" t="n">
        <f aca="false">Premissas!$B$28</f>
        <v>0.1</v>
      </c>
      <c r="E28" s="31" t="n">
        <f aca="false">D28*E27</f>
        <v>2042.67886944966</v>
      </c>
    </row>
    <row r="29" customFormat="false" ht="15" hidden="false" customHeight="false" outlineLevel="0" collapsed="false">
      <c r="A29" s="14" t="s">
        <v>579</v>
      </c>
      <c r="B29" s="16"/>
      <c r="C29" s="16"/>
      <c r="D29" s="16"/>
      <c r="E29" s="38" t="n">
        <f aca="false">E27+E28</f>
        <v>22469.4675639463</v>
      </c>
    </row>
    <row r="31" customFormat="false" ht="15" hidden="false" customHeight="false" outlineLevel="0" collapsed="false">
      <c r="A31" s="12" t="s">
        <v>580</v>
      </c>
    </row>
    <row r="32" customFormat="false" ht="15" hidden="false" customHeight="false" outlineLevel="0" collapsed="false">
      <c r="A32" s="9" t="s">
        <v>581</v>
      </c>
      <c r="B32" s="9" t="s">
        <v>582</v>
      </c>
      <c r="C32" s="20" t="n">
        <v>160</v>
      </c>
      <c r="D32" s="37" t="n">
        <f aca="false">Premissas!$B$10</f>
        <v>103.78282208589</v>
      </c>
      <c r="E32" s="31" t="n">
        <f aca="false">C32*D32</f>
        <v>16605.2515337423</v>
      </c>
    </row>
    <row r="33" customFormat="false" ht="15" hidden="false" customHeight="false" outlineLevel="0" collapsed="false">
      <c r="A33" s="9" t="s">
        <v>583</v>
      </c>
      <c r="B33" s="9" t="s">
        <v>584</v>
      </c>
      <c r="C33" s="20" t="n">
        <v>160</v>
      </c>
      <c r="D33" s="37" t="n">
        <f aca="false">Premissas!$B$10</f>
        <v>103.78282208589</v>
      </c>
      <c r="E33" s="31" t="n">
        <f aca="false">C33*D33</f>
        <v>16605.2515337423</v>
      </c>
    </row>
    <row r="34" customFormat="false" ht="15" hidden="false" customHeight="false" outlineLevel="0" collapsed="false">
      <c r="A34" s="9" t="s">
        <v>585</v>
      </c>
      <c r="B34" s="9" t="s">
        <v>586</v>
      </c>
      <c r="C34" s="20" t="n">
        <v>60</v>
      </c>
      <c r="D34" s="37" t="n">
        <f aca="false">Premissas!$B$10</f>
        <v>103.78282208589</v>
      </c>
      <c r="E34" s="31" t="n">
        <f aca="false">C34*D34</f>
        <v>6226.96932515337</v>
      </c>
    </row>
    <row r="35" customFormat="false" ht="15" hidden="false" customHeight="false" outlineLevel="0" collapsed="false">
      <c r="A35" s="9" t="s">
        <v>587</v>
      </c>
      <c r="B35" s="9" t="s">
        <v>588</v>
      </c>
      <c r="C35" s="20" t="n">
        <v>100</v>
      </c>
      <c r="D35" s="37" t="n">
        <f aca="false">Premissas!$B$10</f>
        <v>103.78282208589</v>
      </c>
      <c r="E35" s="31" t="n">
        <f aca="false">C35*D35</f>
        <v>10378.282208589</v>
      </c>
    </row>
    <row r="36" customFormat="false" ht="15" hidden="false" customHeight="false" outlineLevel="0" collapsed="false">
      <c r="A36" s="9" t="s">
        <v>589</v>
      </c>
      <c r="B36" s="9" t="s">
        <v>590</v>
      </c>
      <c r="C36" s="20" t="n">
        <v>40</v>
      </c>
      <c r="D36" s="37" t="n">
        <f aca="false">Premissas!$B$10</f>
        <v>103.78282208589</v>
      </c>
      <c r="E36" s="31" t="n">
        <f aca="false">C36*D36</f>
        <v>4151.31288343558</v>
      </c>
    </row>
    <row r="37" customFormat="false" ht="15" hidden="false" customHeight="false" outlineLevel="0" collapsed="false">
      <c r="A37" s="9" t="s">
        <v>591</v>
      </c>
      <c r="B37" s="9" t="s">
        <v>592</v>
      </c>
      <c r="C37" s="20" t="n">
        <v>80</v>
      </c>
      <c r="D37" s="37" t="n">
        <f aca="false">Premissas!$B$10</f>
        <v>103.78282208589</v>
      </c>
      <c r="E37" s="31" t="n">
        <f aca="false">C37*D37</f>
        <v>8302.62576687117</v>
      </c>
    </row>
    <row r="38" customFormat="false" ht="15" hidden="false" customHeight="false" outlineLevel="0" collapsed="false">
      <c r="A38" s="14" t="s">
        <v>593</v>
      </c>
      <c r="B38" s="16"/>
      <c r="C38" s="42" t="n">
        <f aca="false">SUM(C32:C37)</f>
        <v>600</v>
      </c>
      <c r="D38" s="16"/>
      <c r="E38" s="38" t="n">
        <f aca="false">SUM(E32:E37)</f>
        <v>62269.6932515337</v>
      </c>
    </row>
    <row r="40" customFormat="false" ht="15" hidden="false" customHeight="false" outlineLevel="0" collapsed="false">
      <c r="A40" s="6" t="s">
        <v>594</v>
      </c>
    </row>
    <row r="41" customFormat="false" ht="15" hidden="false" customHeight="false" outlineLevel="0" collapsed="false">
      <c r="A41" s="6" t="s">
        <v>595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2026-10-26T17:34:18Z</dcterms:created>
  <dc:creator>openpyxl</dc:creator>
  <dc:description/>
  <dc:language>en-US</dc:language>
  <cp:lastModifiedBy/>
  <dcterms:modified xsi:type="dcterms:W3CDTF">2026-10-26T17:34:18Z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