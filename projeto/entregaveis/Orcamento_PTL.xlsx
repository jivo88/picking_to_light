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Premissas" sheetId="3" state="visible" r:id="rId5"/>
    <sheet name="Estações" sheetId="4" state="visible" r:id="rId6"/>
    <sheet name="Preços" sheetId="5" state="visible" r:id="rId7"/>
    <sheet name="Composição" sheetId="6" state="visible" r:id="rId8"/>
    <sheet name="A-Interno" sheetId="7" state="visible" r:id="rId9"/>
    <sheet name="A-Terceiros" sheetId="8" state="visible" r:id="rId10"/>
    <sheet name="B-RFID" sheetId="9" state="visible" r:id="rId11"/>
    <sheet name="Softwar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<sst xmlns="http://schemas.openxmlformats.org/spreadsheetml/2006/main" count="764" uniqueCount="433">
  <si>
    <t xml:space="preserve">Orçamento do projeto Pick-to-Light (flow rack)</t>
  </si>
  <si>
    <t xml:space="preserve">Arquitetura A (coletor + concentrador + displays) e Arquitetura B (identificação por RFID)</t>
  </si>
  <si>
    <t xml:space="preserve">COMO USAR</t>
  </si>
  <si>
    <t xml:space="preserve">• Células em AZUL são entradas editáveis (quantidades, preços, premissas). Células em PRETO são fórmulas: não editar.</t>
  </si>
  <si>
    <t xml:space="preserve">• Células com fundo AMARELO são premissas/estimativas que precisam de cotação ou confirmação.</t>
  </si>
  <si>
    <t xml:space="preserve">• Aba 'Estações': números de endereços por estação, extraídos de wms_endereco (esteiras 1 e 2) em 23/10/2026. Corrija qualquer número direto ali: todo o orçamento recalcula.</t>
  </si>
  <si>
    <t xml:space="preserve">• Coluna 'Piloto' (S/N) na aba 'Estações' define quais estações entram no cenário piloto (padrão: 05 e 27).</t>
  </si>
  <si>
    <t xml:space="preserve">• Aba 'Preços': catálogo de peças com fonte e data. Itens marcados 'Estimativa' devem ser cotados antes da compra.</t>
  </si>
  <si>
    <t xml:space="preserve">ABAS</t>
  </si>
  <si>
    <t xml:space="preserve">Premissas: câmbio, fator de importação, custo-hora, horas de montagem/instalação, reserva técnica, frota de caixas.</t>
  </si>
  <si>
    <t xml:space="preserve">Estações: dimensionamento por estação (40 estações: 20 Medicamento + 20 Perfumaria).</t>
  </si>
  <si>
    <t xml:space="preserve">Preços: catálogo de peças com fonte.</t>
  </si>
  <si>
    <t xml:space="preserve">Composição: lista de materiais (BOM) de cada tipo de módulo e custo unitário.</t>
  </si>
  <si>
    <t xml:space="preserve">A-Interno: Arquitetura A com produção interna: peças, peças + mão de obra, variante 5 V.</t>
  </si>
  <si>
    <t xml:space="preserve">A-Terceiros: Arquitetura A com produção de terceiros: (T1) placa própria montada por EMS e (T2) PTL comercial importado.</t>
  </si>
  <si>
    <t xml:space="preserve">B-RFID: Arquitetura B: mesma infraestrutura de displays + identificação RFID (B1 pulseira, B2 leitor fixo).</t>
  </si>
  <si>
    <t xml:space="preserve">Software: esforço estimado de desenvolvimento (horas) para as duas arquiteturas.</t>
  </si>
  <si>
    <t xml:space="preserve">Resumo: comparativo de todos os cenários: Piloto x Operação completa.</t>
  </si>
  <si>
    <t xml:space="preserve">TERMOS</t>
  </si>
  <si>
    <t xml:space="preserve">Módulo Q: display de QUANTIDADE (3 dígitos) + botão com LED, um por endereço de alto giro (andares 0 a 3).</t>
  </si>
  <si>
    <t xml:space="preserve">Módulo E+Q: display de ENDEREÇO (8 dígitos) + QUANTIDADE (3 dígitos) + botão; usado nos andares 4 e 5 do alto giro (1 por andar em cada lado: 4 por estação) e em cada zona de baixo giro (4 zonas por lado do corredor, na altura dos olhos).</t>
  </si>
  <si>
    <t xml:space="preserve">Nó de coluna: microcontrolador por coluna (prédio) do alto giro que liga os Módulos Q daquela coluna ao barramento RS-485.</t>
  </si>
  <si>
    <t xml:space="preserve">Concentrador: controlador da estação (Ethernet cabeada), recebe a caixa do serviço PTL e comanda os barramentos.</t>
  </si>
  <si>
    <t xml:space="preserve">Zona de baixo giro: 4 zonas por lado do corredor, cada uma com 1 display E+Q na altura dos olhos (o prédio 015 entra na zona D1; esquinas têm zonas de 4 prédios).</t>
  </si>
  <si>
    <t xml:space="preserve">Resumo do orçamento, Pick-to-Light</t>
  </si>
  <si>
    <t xml:space="preserve">Piloto: estações marcadas 'S' na aba Estações (padrão 05 e 27). Valores de hardware; software na última linha.</t>
  </si>
  <si>
    <t xml:space="preserve">Cenário</t>
  </si>
  <si>
    <t xml:space="preserve">Descrição</t>
  </si>
  <si>
    <t xml:space="preserve">Piloto (R$)</t>
  </si>
  <si>
    <t xml:space="preserve">Operação completa (R$)</t>
  </si>
  <si>
    <t xml:space="preserve">Por estação, completo (R$)</t>
  </si>
  <si>
    <t xml:space="preserve">A interno, só peças (12 V)</t>
  </si>
  <si>
    <t xml:space="preserve">Peças para toda a operação, montagem própria</t>
  </si>
  <si>
    <t xml:space="preserve">A interno, só peças (variante 5 V)</t>
  </si>
  <si>
    <t xml:space="preserve">Sem reguladores, fonte 5 V, mais cabo de força</t>
  </si>
  <si>
    <t xml:space="preserve">A interno, peças + mão de obra</t>
  </si>
  <si>
    <t xml:space="preserve">Montagem, instalação e comissionamento internos</t>
  </si>
  <si>
    <t xml:space="preserve">A terceiros, T1 (PCB própria via EMS)</t>
  </si>
  <si>
    <t xml:space="preserve">Placas próprias fabricadas/montadas por terceiros + instalação</t>
  </si>
  <si>
    <t xml:space="preserve">A terceiros, T2 (PTL comercial importado)</t>
  </si>
  <si>
    <t xml:space="preserve">Hardware PTL pronto + instalação</t>
  </si>
  <si>
    <t xml:space="preserve">B1, RFID com pulseira</t>
  </si>
  <si>
    <t xml:space="preserve">Displays (A interno) + tags + pulseiras NFC</t>
  </si>
  <si>
    <t xml:space="preserve">B2, RFID com leitor fixo na estação</t>
  </si>
  <si>
    <t xml:space="preserve">Displays (A interno) + tags + leitor fixo e painel</t>
  </si>
  <si>
    <t xml:space="preserve">Opcional, guia de coluna no baixo giro</t>
  </si>
  <si>
    <t xml:space="preserve">1 LED por prédio do fundo</t>
  </si>
  <si>
    <t xml:space="preserve">Desenvolvimento de software (interno)</t>
  </si>
  <si>
    <t xml:space="preserve">Arquitetura A (app próprio)</t>
  </si>
  <si>
    <t xml:space="preserve">Arquitetura B</t>
  </si>
  <si>
    <t xml:space="preserve">Volume da operação (informado): ~3.000 volumes/dia e 250.000 a 270.000 produtos separados por dia.</t>
  </si>
  <si>
    <t xml:space="preserve">Premissa</t>
  </si>
  <si>
    <t xml:space="preserve">Valor</t>
  </si>
  <si>
    <t xml:space="preserve">Unidade</t>
  </si>
  <si>
    <t xml:space="preserve">Fonte / observação</t>
  </si>
  <si>
    <t xml:space="preserve">Câmbio USD/BRL (comercial)</t>
  </si>
  <si>
    <t xml:space="preserve">R$/US$</t>
  </si>
  <si>
    <t xml:space="preserve">renovainvest.com.br/dolar-hoje, 23/10/2026 12h11</t>
  </si>
  <si>
    <t xml:space="preserve">Fator de importação (frete + impostos + despacho) sobre o valor FOB</t>
  </si>
  <si>
    <t xml:space="preserve">x</t>
  </si>
  <si>
    <t xml:space="preserve">Estimativa para importação formal de eletrônicos (II + IPI + PIS/COFINS + ICMS + frete). Confirmar com Comércio Exterior.</t>
  </si>
  <si>
    <t xml:space="preserve">Salário médio técnico eletrônico (CLT)</t>
  </si>
  <si>
    <t xml:space="preserve">R$/mês</t>
  </si>
  <si>
    <t xml:space="preserve">salario.com.br, CBO 313215, atualizado em 08/10/2026 (CAGED)</t>
  </si>
  <si>
    <t xml:space="preserve">Fator de encargos e benefícios sobre salário</t>
  </si>
  <si>
    <t xml:space="preserve">Estimativa usual (encargos + benefícios + provisões). Ajustar com RH.</t>
  </si>
  <si>
    <t xml:space="preserve">Horas produtivas por mês</t>
  </si>
  <si>
    <t xml:space="preserve">h</t>
  </si>
  <si>
    <t xml:space="preserve">44 h/semana com ausências</t>
  </si>
  <si>
    <t xml:space="preserve">Custo-hora técnico (calculado)</t>
  </si>
  <si>
    <t xml:space="preserve">R$/h</t>
  </si>
  <si>
    <t xml:space="preserve">Fórmula: salário × encargos ÷ horas</t>
  </si>
  <si>
    <t xml:space="preserve">Montagem, Módulo Q</t>
  </si>
  <si>
    <t xml:space="preserve">h/un</t>
  </si>
  <si>
    <t xml:space="preserve">Estimativa: display + botão + carcaça + teste</t>
  </si>
  <si>
    <t xml:space="preserve">Montagem, Nó de coluna</t>
  </si>
  <si>
    <t xml:space="preserve">Estimativa: placa base, soldas, gravação de firmware, teste</t>
  </si>
  <si>
    <t xml:space="preserve">Montagem, Módulo E+Q</t>
  </si>
  <si>
    <t xml:space="preserve">Estimativa</t>
  </si>
  <si>
    <t xml:space="preserve">Montagem, Concentrador (gabinete completo)</t>
  </si>
  <si>
    <t xml:space="preserve">Instalação por estação (canaletas, módulos, cabos)</t>
  </si>
  <si>
    <t xml:space="preserve">h/estação</t>
  </si>
  <si>
    <t xml:space="preserve">Estimativa: 2 técnicos × 1 turno</t>
  </si>
  <si>
    <t xml:space="preserve">Testes e comissionamento por estação</t>
  </si>
  <si>
    <t xml:space="preserve">Reserva técnica (peças sobressalentes)</t>
  </si>
  <si>
    <t xml:space="preserve">%</t>
  </si>
  <si>
    <t xml:space="preserve">Sobre módulos, nós e concentradores</t>
  </si>
  <si>
    <t xml:space="preserve">Cabo de barramento por segmento (entre nós/módulos)</t>
  </si>
  <si>
    <t xml:space="preserve">m</t>
  </si>
  <si>
    <t xml:space="preserve">Estimativa de layout; ajustar com as medidas das fotos</t>
  </si>
  <si>
    <t xml:space="preserve">Canaleta/perfil de fixação por estação</t>
  </si>
  <si>
    <t xml:space="preserve">12 m frente + 12 m fundo (estimativa)</t>
  </si>
  <si>
    <t xml:space="preserve">Cabo de rede do rack até a estação</t>
  </si>
  <si>
    <t xml:space="preserve">Estimativa; depende da posição do rack</t>
  </si>
  <si>
    <t xml:space="preserve">Estações atendidas por switch de 24 portas</t>
  </si>
  <si>
    <t xml:space="preserve">estações</t>
  </si>
  <si>
    <t xml:space="preserve">Deixa portas livres para uplink/reserva</t>
  </si>
  <si>
    <t xml:space="preserve">Frota de caixas retornáveis (Arq. B)</t>
  </si>
  <si>
    <t xml:space="preserve">caixas</t>
  </si>
  <si>
    <t xml:space="preserve">Estimativa: ~1,7 × 3.000 volumes/dia. CONFIRMAR com a operação.</t>
  </si>
  <si>
    <t xml:space="preserve">Pulseiras por estação (Arq. B1)</t>
  </si>
  <si>
    <t xml:space="preserve">un</t>
  </si>
  <si>
    <t xml:space="preserve">1 por operador + 20% reserva/carga</t>
  </si>
  <si>
    <t xml:space="preserve">Custo-hora desenvolvimento interno</t>
  </si>
  <si>
    <t xml:space="preserve">Estimativa para referência; ajustar com RH/TI</t>
  </si>
  <si>
    <t xml:space="preserve">Cabo de força extra por estação na variante 5 V</t>
  </si>
  <si>
    <t xml:space="preserve">Distribuição de 5 V exige mais pontos de injeção</t>
  </si>
  <si>
    <t xml:space="preserve">Cabo de força 2×1,5 mm² (variante 5 V)</t>
  </si>
  <si>
    <t xml:space="preserve">R$/m</t>
  </si>
  <si>
    <t xml:space="preserve">Estimativa, cotar</t>
  </si>
  <si>
    <t xml:space="preserve">Rua (estação)</t>
  </si>
  <si>
    <t xml:space="preserve">Segmento</t>
  </si>
  <si>
    <t xml:space="preserve">Tipo</t>
  </si>
  <si>
    <t xml:space="preserve">Piloto (S/N)</t>
  </si>
  <si>
    <t xml:space="preserve">Total de endereços</t>
  </si>
  <si>
    <t xml:space="preserve">Alto giro 0-3
(Módulos Q)</t>
  </si>
  <si>
    <t xml:space="preserve">Alto giro 4-5
(endereços)</t>
  </si>
  <si>
    <t xml:space="preserve">Blocos AG 4-5
(E/D)</t>
  </si>
  <si>
    <t xml:space="preserve">Baixo giro
(endereços)</t>
  </si>
  <si>
    <t xml:space="preserve">Zonas baixo giro</t>
  </si>
  <si>
    <t xml:space="preserve">Nós de coluna</t>
  </si>
  <si>
    <t xml:space="preserve">Prédios do fundo</t>
  </si>
  <si>
    <t xml:space="preserve">Módulos E+Q</t>
  </si>
  <si>
    <t xml:space="preserve">Segmentos de
barramento</t>
  </si>
  <si>
    <t xml:space="preserve">Concentrador</t>
  </si>
  <si>
    <t xml:space="preserve">03</t>
  </si>
  <si>
    <t xml:space="preserve">Medicamento</t>
  </si>
  <si>
    <t xml:space="preserve">Ponta</t>
  </si>
  <si>
    <t xml:space="preserve">N</t>
  </si>
  <si>
    <t xml:space="preserve">04</t>
  </si>
  <si>
    <t xml:space="preserve">Comum</t>
  </si>
  <si>
    <t xml:space="preserve">05</t>
  </si>
  <si>
    <t xml:space="preserve">S</t>
  </si>
  <si>
    <t xml:space="preserve">06</t>
  </si>
  <si>
    <t xml:space="preserve">07</t>
  </si>
  <si>
    <t xml:space="preserve">08</t>
  </si>
  <si>
    <t xml:space="preserve">09</t>
  </si>
  <si>
    <t xml:space="preserve">Esquina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</si>
  <si>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</si>
  <si>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</si>
  <si>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</si>
  <si>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</si>
  <si>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</si>
  <si>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</si>
  <si>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</si>
  <si>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</si>
  <si>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</si>
  <si>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</si>
  <si>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</si>
  <si>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</si>
  <si>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</si>
  <si>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26</t>
  </si>
  <si>
    <t xml:space="preserve">Perfumaria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</si>
  <si>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</si>
  <si>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</si>
  <si>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</si>
  <si>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</si>
  <si>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</si>
  <si>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</si>
  <si>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</si>
  <si>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</si>
  <si>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</si>
  <si>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</si>
  <si>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</si>
  <si>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</si>
  <si>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</si>
  <si>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</si>
  <si>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</si>
  <si>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</si>
  <si>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</si>
  <si>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</si>
  <si>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</si>
  <si>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Total da operação completa</t>
  </si>
  <si>
    <t xml:space="preserve">Total do piloto (Piloto = S)</t>
  </si>
  <si>
    <t xml:space="preserve">Coluna D (Piloto) = quantidade de estações nas linhas de total. Fonte: wms_endereco (cd_esteira 1 e 2), exportado em 23/10/2026; rua 90 (Marketing/Almoxarifado) desconsiderada.</t>
  </si>
  <si>
    <t xml:space="preserve">Regras: Alto giro = prédios 001-010; andares 4-5 com 4 displays E+Q por estação (A4 e A5 nos lados 001-005 e 006-010). Baixo giro = demais prédios (corredor, 015 e esquinas): 4 zonas E+Q por lado do corredor; esquinas com zonas de 4 prédios.</t>
  </si>
  <si>
    <t xml:space="preserve">Código</t>
  </si>
  <si>
    <t xml:space="preserve">Item</t>
  </si>
  <si>
    <t xml:space="preserve">Preço (R$)</t>
  </si>
  <si>
    <t xml:space="preserve">Preço (US$)</t>
  </si>
  <si>
    <t xml:space="preserve">Fonte / data</t>
  </si>
  <si>
    <t xml:space="preserve">Status</t>
  </si>
  <si>
    <t xml:space="preserve">P01</t>
  </si>
  <si>
    <t xml:space="preserve">Display 7 segmentos 4 dígitos TM1637 (usa 3 dígitos, quantidade)</t>
  </si>
  <si>
    <t xml:space="preserve">Usinainfo, Módulo Display TM1637 4 dígitos vermelho, 23/10/2026 (Pix)</t>
  </si>
  <si>
    <t xml:space="preserve">Cotado</t>
  </si>
  <si>
    <t xml:space="preserve">P02</t>
  </si>
  <si>
    <t xml:space="preserve">Display 7 segmentos 8 dígitos MAX7219 (endereço)</t>
  </si>
  <si>
    <t xml:space="preserve">Usinainfo, Display MAX7219 8 dígitos SPI, 23/10/2026 (Pix)</t>
  </si>
  <si>
    <t xml:space="preserve">P03</t>
  </si>
  <si>
    <t xml:space="preserve">Microcontrolador Raspberry Pi Pico (RP2040)</t>
  </si>
  <si>
    <t xml:space="preserve">MakerHero, Raspberry Pi Pico, 23/10/2026</t>
  </si>
  <si>
    <t xml:space="preserve">P04</t>
  </si>
  <si>
    <t xml:space="preserve">Módulo transceptor RS-485 (MAX485)</t>
  </si>
  <si>
    <t xml:space="preserve">Saravati, Módulo conversor TTL/RS485 MAX485, 23/10/2026</t>
  </si>
  <si>
    <t xml:space="preserve">P05</t>
  </si>
  <si>
    <t xml:space="preserve">Placa do concentrador RP2040 + Ethernet W5500 (W5500-EVB-Pico)</t>
  </si>
  <si>
    <t xml:space="preserve">SparkFun DEV-19958 US$ 12,50, 23/10/2026; convertido com câmbio × fator de importação</t>
  </si>
  <si>
    <t xml:space="preserve">Cotado (US$)</t>
  </si>
  <si>
    <t xml:space="preserve">P06</t>
  </si>
  <si>
    <t xml:space="preserve">Fonte Mean Well LRS-150-12 (12 V / 12,5 A / 150 W)</t>
  </si>
  <si>
    <t xml:space="preserve">MCEIG (fontesmeanwell.com.br), 23/10/2026</t>
  </si>
  <si>
    <t xml:space="preserve">P07</t>
  </si>
  <si>
    <t xml:space="preserve">Fonte Mean Well LRS-150-5 (5 V / 26 A), variante 5 V</t>
  </si>
  <si>
    <t xml:space="preserve">Estimativa (mesma família da LRS-150-12), cotar</t>
  </si>
  <si>
    <t xml:space="preserve">P08</t>
  </si>
  <si>
    <t xml:space="preserve">Regulador step-down 12 V → 5 V (mini, 3 A)</t>
  </si>
  <si>
    <t xml:space="preserve">Estimativa de mercado, cotar</t>
  </si>
  <si>
    <t xml:space="preserve">P09</t>
  </si>
  <si>
    <t xml:space="preserve">Botão de confirmação com LED (16 mm, momentâneo)</t>
  </si>
  <si>
    <t xml:space="preserve">P10</t>
  </si>
  <si>
    <t xml:space="preserve">Conector RJ45 fêmea para placa (jack)</t>
  </si>
  <si>
    <t xml:space="preserve">P11</t>
  </si>
  <si>
    <t xml:space="preserve">Plug RJ45 Cat5e (macho)</t>
  </si>
  <si>
    <t xml:space="preserve">Estimativa (pote com 100), cotar</t>
  </si>
  <si>
    <t xml:space="preserve">P12</t>
  </si>
  <si>
    <t xml:space="preserve">Cabo Cat5e (por metro)</t>
  </si>
  <si>
    <t xml:space="preserve">KaBuM, Cabo Cat5e Fortrek FK500C 305 m R$ 1.229,41 (Pix), 23/10/2026</t>
  </si>
  <si>
    <t xml:space="preserve">P13</t>
  </si>
  <si>
    <t xml:space="preserve">Carcaça do Módulo Q (impressão 3D PETG ou caixa plástica pequena)</t>
  </si>
  <si>
    <t xml:space="preserve">P14</t>
  </si>
  <si>
    <t xml:space="preserve">Carcaça do Módulo E+Q / Nó de coluna</t>
  </si>
  <si>
    <t xml:space="preserve">P15</t>
  </si>
  <si>
    <t xml:space="preserve">Placa base universal + bornes (nó / módulo E+Q)</t>
  </si>
  <si>
    <t xml:space="preserve">P16</t>
  </si>
  <si>
    <t xml:space="preserve">Gabinete do concentrador ventilado (caixa IP54 + cooler 40 mm 12 V + filtro)</t>
  </si>
  <si>
    <t xml:space="preserve">Estimativa, cotar (ambiente com poeira e calor)</t>
  </si>
  <si>
    <t xml:space="preserve">P17</t>
  </si>
  <si>
    <t xml:space="preserve">Trilho DIN + bornes + disjuntor 2 A</t>
  </si>
  <si>
    <t xml:space="preserve">kit</t>
  </si>
  <si>
    <t xml:space="preserve">P18</t>
  </si>
  <si>
    <t xml:space="preserve">Canaleta / perfil de fixação dos módulos (por metro)</t>
  </si>
  <si>
    <t xml:space="preserve">Estimativa (canaleta PVC 20×10 mm em barra de 2 m), cotar</t>
  </si>
  <si>
    <t xml:space="preserve">P19</t>
  </si>
  <si>
    <t xml:space="preserve">Fixações diversas (abraçadeiras, parafusos, etiquetas) por estação</t>
  </si>
  <si>
    <t xml:space="preserve">P20</t>
  </si>
  <si>
    <t xml:space="preserve">Switch 24 portas Gigabit TP-Link TL-SG1024DE</t>
  </si>
  <si>
    <t xml:space="preserve">KaBuM, 23/10/2026 (Pix)</t>
  </si>
  <si>
    <t xml:space="preserve">P21</t>
  </si>
  <si>
    <t xml:space="preserve">Fita LED endereçável WS2812, guia de coluna (por LED) [opcional]</t>
  </si>
  <si>
    <t xml:space="preserve">LED</t>
  </si>
  <si>
    <t xml:space="preserve">P22</t>
  </si>
  <si>
    <t xml:space="preserve">Tag NFC NTAG213 adesiva 13,56 MHz</t>
  </si>
  <si>
    <t xml:space="preserve">Loja RFID, lote 100 un R$ 237,41 à vista, 23/10/2026</t>
  </si>
  <si>
    <t xml:space="preserve">P23</t>
  </si>
  <si>
    <t xml:space="preserve">Suporte/proteção da tag na caixa retornável</t>
  </si>
  <si>
    <t xml:space="preserve">P24</t>
  </si>
  <si>
    <t xml:space="preserve">ESP32-C3 Super Mini (pulseira)</t>
  </si>
  <si>
    <t xml:space="preserve">Usinainfo, 23/10/2026 (Pix)</t>
  </si>
  <si>
    <t xml:space="preserve">P25</t>
  </si>
  <si>
    <t xml:space="preserve">Módulo leitor NFC PN532 (43×40 mm, com cartão e chaveiro)</t>
  </si>
  <si>
    <t xml:space="preserve">MakerHero, Kit Módulo Leitor RFID NFC PN532, 23/10/2026 (Pix)</t>
  </si>
  <si>
    <t xml:space="preserve">P26</t>
  </si>
  <si>
    <t xml:space="preserve">Kit energia pulseira (LiPo 500 mAh + TP4056 + motor vibração + botão)</t>
  </si>
  <si>
    <t xml:space="preserve">P27</t>
  </si>
  <si>
    <t xml:space="preserve">Carcaça 3D + pulseira velcro</t>
  </si>
  <si>
    <t xml:space="preserve">P28</t>
  </si>
  <si>
    <t xml:space="preserve">Display LCD 20×4 I2C (painel da estação, Arq. B2)</t>
  </si>
  <si>
    <t xml:space="preserve">P29</t>
  </si>
  <si>
    <t xml:space="preserve">Módulo PTL comercial 3 dígitos + botão (RS-485)</t>
  </si>
  <si>
    <t xml:space="preserve">Alibaba, Sophia T-P3: US$ 32 (1-299 un) / US$ 28 (300+), 23/10/2026; média US$ 30</t>
  </si>
  <si>
    <t xml:space="preserve">P30</t>
  </si>
  <si>
    <t xml:space="preserve">Módulo PTL comercial endereço + quantidade (display alfanumérico)</t>
  </si>
  <si>
    <t xml:space="preserve">Estimativa (não há preço público), solicitar cotação a fornecedores</t>
  </si>
  <si>
    <t xml:space="preserve">P31</t>
  </si>
  <si>
    <t xml:space="preserve">Controlador/gateway PTL comercial por estação</t>
  </si>
  <si>
    <t xml:space="preserve">Estimativa (não há preço público), solicitar cotação</t>
  </si>
  <si>
    <t xml:space="preserve">P32</t>
  </si>
  <si>
    <t xml:space="preserve">PCB própria montada por EMS, Módulo Q (MCU + display 0,56" + botão + 2× RJ45)</t>
  </si>
  <si>
    <t xml:space="preserve">Estimativa com base na tabela de montagem JLCPCB (jlcpcb.com/help/article/pcb-assembly-price) + componentes</t>
  </si>
  <si>
    <t xml:space="preserve">P33</t>
  </si>
  <si>
    <t xml:space="preserve">PCB própria montada por EMS, Módulo E+Q</t>
  </si>
  <si>
    <t xml:space="preserve">Estimativa (idem)</t>
  </si>
  <si>
    <t xml:space="preserve">P34</t>
  </si>
  <si>
    <t xml:space="preserve">PCB própria montada por EMS, Concentrador (MCU + Ethernet + 2× RS-485)</t>
  </si>
  <si>
    <t xml:space="preserve">P35</t>
  </si>
  <si>
    <t xml:space="preserve">Engenharia de projeto das PCBs (terceirizada, valor único)</t>
  </si>
  <si>
    <t xml:space="preserve">projeto</t>
  </si>
  <si>
    <t xml:space="preserve">Estimativa, solicitar orçamento a design house</t>
  </si>
  <si>
    <t xml:space="preserve">P36</t>
  </si>
  <si>
    <t xml:space="preserve">Leitor RFID UHF de pulso comercial (FEIG HyWEAR Compact), referência</t>
  </si>
  <si>
    <t xml:space="preserve">atlasRFIDstore, US$ 997, 22/10/2026 (UHF; não lê tags NFC)</t>
  </si>
  <si>
    <t xml:space="preserve">P37</t>
  </si>
  <si>
    <t xml:space="preserve">Leitor HF/NFC fixo industrial (USB/RS-232), alternativa comercial ao PN532</t>
  </si>
  <si>
    <t xml:space="preserve">Estimativa, cotar (ex.: ACS ACR122U ou similar)</t>
  </si>
  <si>
    <t xml:space="preserve">Conjunto</t>
  </si>
  <si>
    <t xml:space="preserve">Qtd por unidade</t>
  </si>
  <si>
    <t xml:space="preserve">Preço unit. (R$)</t>
  </si>
  <si>
    <t xml:space="preserve">Subtotal (R$)</t>
  </si>
  <si>
    <t xml:space="preserve">Módulo Q</t>
  </si>
  <si>
    <t xml:space="preserve">Custo unitário, Módulo Q</t>
  </si>
  <si>
    <t xml:space="preserve">Nó de coluna</t>
  </si>
  <si>
    <t xml:space="preserve">Custo unitário, Nó de coluna</t>
  </si>
  <si>
    <t xml:space="preserve">Módulo E+Q</t>
  </si>
  <si>
    <t xml:space="preserve">Custo unitário, Módulo E+Q</t>
  </si>
  <si>
    <t xml:space="preserve">Concentrador 12 V</t>
  </si>
  <si>
    <t xml:space="preserve">Custo unitário, Concentrador 12 V</t>
  </si>
  <si>
    <t xml:space="preserve">Concentrador 5 V</t>
  </si>
  <si>
    <t xml:space="preserve">Custo unitário, Concentrador 5 V</t>
  </si>
  <si>
    <t xml:space="preserve">Pulseira RFID (B1)</t>
  </si>
  <si>
    <t xml:space="preserve">Custo unitário, Pulseira RFID (B1)</t>
  </si>
  <si>
    <t xml:space="preserve">Leitor fixo + painel (B2)</t>
  </si>
  <si>
    <t xml:space="preserve">Custo unitário, Leitor fixo + painel (B2)</t>
  </si>
  <si>
    <t xml:space="preserve">Tag por caixa (B)</t>
  </si>
  <si>
    <t xml:space="preserve">Custo unitário, Tag por caixa (B)</t>
  </si>
  <si>
    <t xml:space="preserve">Variante 5 V: os módulos e nós não usam regulador step-down (P08); o custo é descontado na aba A-Interno.</t>
  </si>
  <si>
    <t xml:space="preserve">Base de cálculo</t>
  </si>
  <si>
    <t xml:space="preserve">Qtd piloto</t>
  </si>
  <si>
    <t xml:space="preserve">Qtd completo</t>
  </si>
  <si>
    <t xml:space="preserve">Total piloto (R$)</t>
  </si>
  <si>
    <t xml:space="preserve">Total completo (R$)</t>
  </si>
  <si>
    <t xml:space="preserve">Arquitetura A, produção e montagem interna (12 V)</t>
  </si>
  <si>
    <t xml:space="preserve">Módulos Q (alto giro 0-3)</t>
  </si>
  <si>
    <t xml:space="preserve">endereços alto giro 0-3 × (1 + reserva)</t>
  </si>
  <si>
    <t xml:space="preserve">Nós de coluna (alto giro)</t>
  </si>
  <si>
    <t xml:space="preserve">colunas de alto giro × (1 + reserva)</t>
  </si>
  <si>
    <t xml:space="preserve">Módulos E+Q (blocos 4-5 + zonas baixo giro)</t>
  </si>
  <si>
    <t xml:space="preserve">blocos + zonas × (1 + reserva)</t>
  </si>
  <si>
    <t xml:space="preserve">Concentradores 12 V</t>
  </si>
  <si>
    <t xml:space="preserve">1 por estação × (1 + reserva)</t>
  </si>
  <si>
    <t xml:space="preserve">Cabo de barramento Cat5e (m)</t>
  </si>
  <si>
    <t xml:space="preserve">segmentos × metros por segmento</t>
  </si>
  <si>
    <t xml:space="preserve">Plugs RJ45 do barramento</t>
  </si>
  <si>
    <t xml:space="preserve">2 por segmento</t>
  </si>
  <si>
    <t xml:space="preserve">Canaleta / perfil de fixação (m)</t>
  </si>
  <si>
    <t xml:space="preserve">metros por estação</t>
  </si>
  <si>
    <t xml:space="preserve">Fixações diversas</t>
  </si>
  <si>
    <t xml:space="preserve">1 kit por estação</t>
  </si>
  <si>
    <t xml:space="preserve">Cabo de rede até a estação (m)</t>
  </si>
  <si>
    <t xml:space="preserve">Switch 24 portas</t>
  </si>
  <si>
    <t xml:space="preserve">estações ÷ portas por switch (arredondado para cima)</t>
  </si>
  <si>
    <t xml:space="preserve">SUBTOTAL PEÇAS, Arquitetura A (12 V)</t>
  </si>
  <si>
    <t xml:space="preserve">Mão de obra interna</t>
  </si>
  <si>
    <t xml:space="preserve">Montagem Módulos Q (h)</t>
  </si>
  <si>
    <t xml:space="preserve">módulos × h/un</t>
  </si>
  <si>
    <t xml:space="preserve">Montagem Nós de coluna (h)</t>
  </si>
  <si>
    <t xml:space="preserve">nós × h/un</t>
  </si>
  <si>
    <t xml:space="preserve">Montagem Módulos E+Q (h)</t>
  </si>
  <si>
    <t xml:space="preserve">Montagem Concentradores (h)</t>
  </si>
  <si>
    <t xml:space="preserve">concentradores × h/un</t>
  </si>
  <si>
    <t xml:space="preserve">Instalação nas estações (h)</t>
  </si>
  <si>
    <t xml:space="preserve">estações × h/estação</t>
  </si>
  <si>
    <t xml:space="preserve">Testes e comissionamento (h)</t>
  </si>
  <si>
    <t xml:space="preserve">SUBTOTAL MÃO DE OBRA</t>
  </si>
  <si>
    <t xml:space="preserve">TOTAL, Arquitetura A interna (peças + mão de obra)</t>
  </si>
  <si>
    <t xml:space="preserve">Variante 5 V (peças)</t>
  </si>
  <si>
    <t xml:space="preserve">(−) Reguladores step-down dispensados</t>
  </si>
  <si>
    <t xml:space="preserve">nós + módulos E+Q + concentradores</t>
  </si>
  <si>
    <t xml:space="preserve">(±) Fonte 5 V no lugar da 12 V</t>
  </si>
  <si>
    <t xml:space="preserve">concentradores</t>
  </si>
  <si>
    <t xml:space="preserve">(+) Cabo de força extra para injeção de 5 V (m)</t>
  </si>
  <si>
    <t xml:space="preserve">SUBTOTAL PEÇAS, variante 5 V</t>
  </si>
  <si>
    <t xml:space="preserve">Opcional, guia de coluna no baixo giro (1 LED por prédio do fundo)</t>
  </si>
  <si>
    <t xml:space="preserve">LEDs guia de coluna</t>
  </si>
  <si>
    <t xml:space="preserve">prédios do fundo × (1 + reserva)</t>
  </si>
  <si>
    <t xml:space="preserve">T1, Placas próprias fabricadas e montadas por EMS (cada módulo com seu microcontrolador)</t>
  </si>
  <si>
    <t xml:space="preserve">Módulo Q, PCB montada</t>
  </si>
  <si>
    <t xml:space="preserve">Módulo E+Q, PCB montada</t>
  </si>
  <si>
    <t xml:space="preserve">Concentrador, PCB montada + fonte + gabinete</t>
  </si>
  <si>
    <t xml:space="preserve">estações × (1 + reserva)</t>
  </si>
  <si>
    <t xml:space="preserve">Cabo de barramento + plugs (m)</t>
  </si>
  <si>
    <t xml:space="preserve">segmentos × metros (módulos em cadeia)</t>
  </si>
  <si>
    <t xml:space="preserve">Canaleta, fixações, rede e switches</t>
  </si>
  <si>
    <t xml:space="preserve">igual à Arquitetura A</t>
  </si>
  <si>
    <t xml:space="preserve">Engenharia de projeto das PCBs (valor único)</t>
  </si>
  <si>
    <t xml:space="preserve">1 projeto</t>
  </si>
  <si>
    <t xml:space="preserve">Instalação + comissionamento (h)</t>
  </si>
  <si>
    <t xml:space="preserve">estações × (h instalação + h testes)</t>
  </si>
  <si>
    <t xml:space="preserve">TOTAL T1, PCB própria (EMS)</t>
  </si>
  <si>
    <t xml:space="preserve">T2, Sistema PTL comercial importado (hardware pronto; software de integração continua interno)</t>
  </si>
  <si>
    <t xml:space="preserve">Módulos PTL 3 dígitos (alto giro 0-3)</t>
  </si>
  <si>
    <t xml:space="preserve">endereços × (1 + reserva)</t>
  </si>
  <si>
    <t xml:space="preserve">Módulos PTL endereço + quantidade</t>
  </si>
  <si>
    <t xml:space="preserve">Controlador/gateway PTL por estação</t>
  </si>
  <si>
    <t xml:space="preserve">Fonte 12 V + gabinete por estação</t>
  </si>
  <si>
    <t xml:space="preserve">módulos em cadeia</t>
  </si>
  <si>
    <t xml:space="preserve">TOTAL T2, PTL comercial importado</t>
  </si>
  <si>
    <t xml:space="preserve">Valores em US$ convertidos por câmbio × fator de importação (aba Premissas). Itens de PTL comercial sem preço público devem ser cotados com fornecedores (ex.: ATOP, Aioi, fornecedores nacionais).</t>
  </si>
  <si>
    <t xml:space="preserve">Arquitetura B = infraestrutura de displays da Arquitetura A + identificação da caixa por RFID</t>
  </si>
  <si>
    <t xml:space="preserve">Infraestrutura de displays (Arquitetura A interna, peças + mão de obra)</t>
  </si>
  <si>
    <t xml:space="preserve">aba A-Interno</t>
  </si>
  <si>
    <t xml:space="preserve">Tags NFC nas caixas retornáveis (frota)</t>
  </si>
  <si>
    <t xml:space="preserve">frota de caixas (piloto: proporcional às estações)</t>
  </si>
  <si>
    <t xml:space="preserve">Associação tag ↔ caixa (cadastro inicial) (h)</t>
  </si>
  <si>
    <t xml:space="preserve">30 s por caixa</t>
  </si>
  <si>
    <t xml:space="preserve">B1, Pulseira NFC (montagem própria)</t>
  </si>
  <si>
    <t xml:space="preserve">Pulseiras NFC (ESP32-C3 + PN532 + bateria)</t>
  </si>
  <si>
    <t xml:space="preserve">estações × pulseiras por estação</t>
  </si>
  <si>
    <t xml:space="preserve">Montagem das pulseiras (h)</t>
  </si>
  <si>
    <t xml:space="preserve">1,5 h por pulseira</t>
  </si>
  <si>
    <t xml:space="preserve">TOTAL B1, displays + tags + pulseiras</t>
  </si>
  <si>
    <t xml:space="preserve">B2, Leitor fixo na estação + painel (sem item no corpo do operador)</t>
  </si>
  <si>
    <t xml:space="preserve">Leitor PN532 + LCD 20×4 + botão Fechar</t>
  </si>
  <si>
    <t xml:space="preserve">1 por estação (ligado ao concentrador)</t>
  </si>
  <si>
    <t xml:space="preserve">Montagem e instalação do leitor (h)</t>
  </si>
  <si>
    <t xml:space="preserve">2 h por estação</t>
  </si>
  <si>
    <t xml:space="preserve">TOTAL B2, displays + tags + leitor fixo</t>
  </si>
  <si>
    <t xml:space="preserve">Referência de mercado, leitor de pulso comercial</t>
  </si>
  <si>
    <t xml:space="preserve">FEIG HyWEAR (UHF) por operador, não lê NFC; exigiria tags UHF</t>
  </si>
  <si>
    <t xml:space="preserve">Coletores MovFast já existentes não entram no custo (Arquitetura A). Na Arquitetura B eles deixam de ser necessários na separação, mas continuam disponíveis para as demais operações.</t>
  </si>
  <si>
    <t xml:space="preserve">Componente</t>
  </si>
  <si>
    <t xml:space="preserve">Arquitetura</t>
  </si>
  <si>
    <t xml:space="preserve">Horas estimadas</t>
  </si>
  <si>
    <t xml:space="preserve">Custo (R$)</t>
  </si>
  <si>
    <t xml:space="preserve">Observação</t>
  </si>
  <si>
    <t xml:space="preserve">Serviço PTL (API REST + MQTT + regras de separação)</t>
  </si>
  <si>
    <t xml:space="preserve">A e B</t>
  </si>
  <si>
    <t xml:space="preserve">Núcleo: abre/fecha caixa, divide por estação/zona, ordena pela rota</t>
  </si>
  <si>
    <t xml:space="preserve">Integração Sybase ASE (tabelas PTL, views, procedures)</t>
  </si>
  <si>
    <t xml:space="preserve">Leitura de itens da caixa e gravação de eventos/log</t>
  </si>
  <si>
    <t xml:space="preserve">Integração API do sistema BHT (informações da caixa)</t>
  </si>
  <si>
    <t xml:space="preserve">Consulta da caixa e, se possível, liberação para a próxima estação</t>
  </si>
  <si>
    <t xml:space="preserve">App coletor Android (A1, app próprio)</t>
  </si>
  <si>
    <t xml:space="preserve">A</t>
  </si>
  <si>
    <t xml:space="preserve">Leitura com gatilho para abrir/fechar, progresso da caixa</t>
  </si>
  <si>
    <t xml:space="preserve">Tela no WMS PowerBuilder para o coletor (A2)</t>
  </si>
  <si>
    <t xml:space="preserve">Alternativa ao app; grava a leitura em tabela consumida pelo serviço</t>
  </si>
  <si>
    <t xml:space="preserve">Firmware do concentrador (Ethernet + MQTT + 2 barramentos RS-485)</t>
  </si>
  <si>
    <t xml:space="preserve">Base no protótipo MicroPython já validado</t>
  </si>
  <si>
    <t xml:space="preserve">Firmware dos nós de coluna e módulos E+Q</t>
  </si>
  <si>
    <t xml:space="preserve">Protocolo de barramento, endereçamento, auto-teste</t>
  </si>
  <si>
    <t xml:space="preserve">Leitura RFID no concentrador + painel da estação (B2) / pulseira (B1)</t>
  </si>
  <si>
    <t xml:space="preserve">B</t>
  </si>
  <si>
    <t xml:space="preserve">Somente Arquitetura B</t>
  </si>
  <si>
    <t xml:space="preserve">Painel de monitoramento (gestão e TI)</t>
  </si>
  <si>
    <t xml:space="preserve">Status das estações, módulos com falha, produtividade</t>
  </si>
  <si>
    <t xml:space="preserve">Testes integrados, piloto e homologação</t>
  </si>
  <si>
    <t xml:space="preserve">Inclui ajustes no piloto (estações 05 e 27)</t>
  </si>
  <si>
    <t xml:space="preserve">Documentação e treinamento</t>
  </si>
  <si>
    <t xml:space="preserve">Operação, manutenção e suporte</t>
  </si>
  <si>
    <t xml:space="preserve">TOTAL, Arquitetura A com app próprio (sem tela WMS e sem itens só da B)</t>
  </si>
  <si>
    <t xml:space="preserve">Com a tela no WMS (A2) no lugar do app, troque 160 h por 80 h.</t>
  </si>
  <si>
    <t xml:space="preserve">TOTAL, Arquitetura B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</si>
</sst>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;&quot;(R$ &quot;#,##0\);\-"/>
    <numFmt numFmtId="166" formatCode="#,##0.00;\(#,##0.00\);\-"/>
    <numFmt numFmtId="167" formatCode="#,##0;\(#,##0\);\-"/>
    <numFmt numFmtId="168" formatCode="0.0%"/>
    <numFmt numFmtId="169" formatCode="&quot;R$ &quot;#,##0.00;&quot;(R$ &quot;#,##0.00\);\-"/>
    <numFmt numFmtId="170" formatCode="&quot;US$ &quot;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23.8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3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15" hidden="false" customHeight="false" outlineLevel="0" collapsed="false">
      <c r="B22" s="3"/>
    </row>
    <row r="23" customFormat="false" ht="15" hidden="false" customHeight="false" outlineLevel="0" collapsed="false">
      <c r="B23" s="2" t="s">
        <v>18</v>
      </c>
    </row>
    <row r="24" customFormat="false" ht="15" hidden="false" customHeight="false" outlineLevel="0" collapsed="false">
      <c r="B24" s="4" t="s">
        <v>19</v>
      </c>
    </row>
    <row r="25" customFormat="false" ht="23.85" hidden="false" customHeight="false" outlineLevel="0" collapsed="false">
      <c r="B25" s="4" t="s">
        <v>20</v>
      </c>
    </row>
    <row r="26" customFormat="false" ht="15" hidden="false" customHeight="false" outlineLevel="0" collapsed="false">
      <c r="B26" s="4" t="s">
        <v>21</v>
      </c>
    </row>
    <row r="27" customFormat="false" ht="15" hidden="false" customHeight="false" outlineLevel="0" collapsed="false">
      <c r="B27" s="4" t="s">
        <v>22</v>
      </c>
    </row>
    <row r="28" customFormat="false" ht="23.85" hidden="false" customHeight="false" outlineLevel="0" collapsed="false">
      <c r="B28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62"/>
    <col collapsed="false" customWidth="true" hidden="false" outlineLevel="0" max="3" min="3" style="0" width="17"/>
    <col collapsed="false" customWidth="true" hidden="false" outlineLevel="0" max="5" min="4" style="0" width="21"/>
  </cols>
  <sheetData>
    <row r="1" customFormat="false" ht="17.35" hidden="false" customHeight="false" outlineLevel="0" collapsed="false">
      <c r="A1" s="5" t="s">
        <v>24</v>
      </c>
    </row>
    <row r="2" customFormat="false" ht="15" hidden="false" customHeight="false" outlineLevel="0" collapsed="false">
      <c r="A2" s="6" t="s">
        <v>25</v>
      </c>
    </row>
    <row r="3" customFormat="false" ht="31.5" hidden="false" customHeight="true" outlineLevel="0" collapsed="false">
      <c r="A3" s="7" t="s">
        <v>26</v>
      </c>
      <c r="B3" s="7" t="s">
        <v>27</v>
      </c>
      <c r="C3" s="7" t="s">
        <v>28</v>
      </c>
      <c r="D3" s="7" t="s">
        <v>29</v>
      </c>
      <c r="E3" s="7" t="s">
        <v>30</v>
      </c>
    </row>
    <row r="4" customFormat="false" ht="15" hidden="false" customHeight="false" outlineLevel="0" collapsed="false">
      <c r="A4" s="8" t="s">
        <v>31</v>
      </c>
      <c r="B4" s="9" t="s">
        <v>32</v>
      </c>
      <c r="C4" s="10" t="n">
        <f aca="false">'A-Interno'!F13</f>
        <v>11668.4916741803</v>
      </c>
      <c r="D4" s="10" t="n">
        <f aca="false">'A-Interno'!G13</f>
        <v>210828.961811475</v>
      </c>
      <c r="E4" s="11" t="n">
        <f aca="false">D4/Estações!$O$43</f>
        <v>5270.72404528689</v>
      </c>
    </row>
    <row r="5" customFormat="false" ht="15" hidden="false" customHeight="false" outlineLevel="0" collapsed="false">
      <c r="A5" s="8" t="s">
        <v>33</v>
      </c>
      <c r="B5" s="9" t="s">
        <v>34</v>
      </c>
      <c r="C5" s="10" t="n">
        <f aca="false">'A-Interno'!F30</f>
        <v>11507.5516741803</v>
      </c>
      <c r="D5" s="10" t="n">
        <f aca="false">'A-Interno'!G30</f>
        <v>207865.841811475</v>
      </c>
      <c r="E5" s="11" t="n">
        <f aca="false">D5/Estações!$O$43</f>
        <v>5196.64604528689</v>
      </c>
    </row>
    <row r="6" customFormat="false" ht="15" hidden="false" customHeight="false" outlineLevel="0" collapsed="false">
      <c r="A6" s="8" t="s">
        <v>35</v>
      </c>
      <c r="B6" s="9" t="s">
        <v>36</v>
      </c>
      <c r="C6" s="10" t="n">
        <f aca="false">'A-Interno'!F24</f>
        <v>15414.7933919717</v>
      </c>
      <c r="D6" s="10" t="n">
        <f aca="false">'A-Interno'!G24</f>
        <v>284322.843529267</v>
      </c>
      <c r="E6" s="11" t="n">
        <f aca="false">D6/Estações!$O$43</f>
        <v>7108.07108823167</v>
      </c>
    </row>
    <row r="7" customFormat="false" ht="15" hidden="false" customHeight="false" outlineLevel="0" collapsed="false">
      <c r="A7" s="8" t="s">
        <v>37</v>
      </c>
      <c r="B7" s="9" t="s">
        <v>38</v>
      </c>
      <c r="C7" s="10" t="n">
        <f aca="false">'A-Terceiros'!F10</f>
        <v>34026.5052409715</v>
      </c>
      <c r="D7" s="10" t="n">
        <f aca="false">'A-Terceiros'!G10</f>
        <v>368696.351606316</v>
      </c>
      <c r="E7" s="11" t="n">
        <f aca="false">D7/Estações!$O$43</f>
        <v>9217.4087901579</v>
      </c>
    </row>
    <row r="8" customFormat="false" ht="15" hidden="false" customHeight="false" outlineLevel="0" collapsed="false">
      <c r="A8" s="8" t="s">
        <v>39</v>
      </c>
      <c r="B8" s="9" t="s">
        <v>40</v>
      </c>
      <c r="C8" s="10" t="n">
        <f aca="false">'A-Terceiros'!F20</f>
        <v>46363.4151309715</v>
      </c>
      <c r="D8" s="10" t="n">
        <f aca="false">'A-Terceiros'!G20</f>
        <v>906305.152906316</v>
      </c>
      <c r="E8" s="11" t="n">
        <f aca="false">D8/Estações!$O$43</f>
        <v>22657.6288226579</v>
      </c>
    </row>
    <row r="9" customFormat="false" ht="15" hidden="false" customHeight="false" outlineLevel="0" collapsed="false">
      <c r="A9" s="8" t="s">
        <v>41</v>
      </c>
      <c r="B9" s="9" t="s">
        <v>42</v>
      </c>
      <c r="C9" s="10" t="n">
        <f aca="false">'B-RFID'!F10</f>
        <v>16744.8728602744</v>
      </c>
      <c r="D9" s="10" t="n">
        <f aca="false">'B-RFID'!G10</f>
        <v>308765.20295667</v>
      </c>
      <c r="E9" s="11" t="n">
        <f aca="false">D9/Estações!$O$43</f>
        <v>7719.13007391674</v>
      </c>
    </row>
    <row r="10" customFormat="false" ht="15" hidden="false" customHeight="false" outlineLevel="0" collapsed="false">
      <c r="A10" s="8" t="s">
        <v>43</v>
      </c>
      <c r="B10" s="9" t="s">
        <v>44</v>
      </c>
      <c r="C10" s="10" t="n">
        <f aca="false">'B-RFID'!F15</f>
        <v>16587.5961087909</v>
      </c>
      <c r="D10" s="10" t="n">
        <f aca="false">'B-RFID'!G15</f>
        <v>307778.897865651</v>
      </c>
      <c r="E10" s="11" t="n">
        <f aca="false">D10/Estações!$O$43</f>
        <v>7694.47244664127</v>
      </c>
    </row>
    <row r="11" customFormat="false" ht="15" hidden="false" customHeight="false" outlineLevel="0" collapsed="false">
      <c r="A11" s="8" t="s">
        <v>45</v>
      </c>
      <c r="B11" s="9" t="s">
        <v>46</v>
      </c>
      <c r="C11" s="10" t="n">
        <f aca="false">'A-Interno'!F33</f>
        <v>47.7</v>
      </c>
      <c r="D11" s="10" t="n">
        <f aca="false">'A-Interno'!G33</f>
        <v>978.3</v>
      </c>
      <c r="E11" s="11" t="n">
        <f aca="false">D11/Estações!$O$43</f>
        <v>24.4575</v>
      </c>
    </row>
    <row r="13" customFormat="false" ht="15" hidden="false" customHeight="false" outlineLevel="0" collapsed="false">
      <c r="A13" s="12" t="s">
        <v>47</v>
      </c>
    </row>
    <row r="14" customFormat="false" ht="15" hidden="false" customHeight="false" outlineLevel="0" collapsed="false">
      <c r="A14" s="8" t="s">
        <v>48</v>
      </c>
      <c r="B14" s="13" t="str">
        <f aca="false">"Horas: "&amp;TEXT(Software!C13,"#,##0")</f>
        <v>Horas: 1,080</v>
      </c>
      <c r="D14" s="10" t="n">
        <f aca="false">Software!D13</f>
        <v>64800</v>
      </c>
    </row>
    <row r="15" customFormat="false" ht="15" hidden="false" customHeight="false" outlineLevel="0" collapsed="false">
      <c r="A15" s="8" t="s">
        <v>49</v>
      </c>
      <c r="B15" s="13" t="str">
        <f aca="false">"Horas: "&amp;TEXT(Software!C14,"#,##0")</f>
        <v>Horas: 1,000</v>
      </c>
      <c r="D15" s="10" t="n">
        <f aca="false">Software!D14</f>
        <v>60000</v>
      </c>
    </row>
    <row r="17" customFormat="false" ht="15" hidden="false" customHeight="false" outlineLevel="0" collapsed="false">
      <c r="A17" s="6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90"/>
  </cols>
  <sheetData>
    <row r="1" customFormat="false" ht="31.5" hidden="false" customHeight="true" outlineLevel="0" collapsed="false">
      <c r="A1" s="7" t="s">
        <v>51</v>
      </c>
      <c r="B1" s="7" t="s">
        <v>52</v>
      </c>
      <c r="C1" s="7" t="s">
        <v>53</v>
      </c>
      <c r="D1" s="7" t="s">
        <v>54</v>
      </c>
    </row>
    <row r="2" customFormat="false" ht="15" hidden="false" customHeight="false" outlineLevel="0" collapsed="false">
      <c r="A2" s="13" t="s">
        <v>55</v>
      </c>
      <c r="B2" s="14" t="n">
        <v>5.0413</v>
      </c>
      <c r="C2" s="13" t="s">
        <v>56</v>
      </c>
      <c r="D2" s="9" t="s">
        <v>57</v>
      </c>
    </row>
    <row r="3" customFormat="false" ht="23.85" hidden="false" customHeight="false" outlineLevel="0" collapsed="false">
      <c r="A3" s="13" t="s">
        <v>58</v>
      </c>
      <c r="B3" s="15" t="n">
        <v>1.9</v>
      </c>
      <c r="C3" s="13" t="s">
        <v>59</v>
      </c>
      <c r="D3" s="9" t="s">
        <v>60</v>
      </c>
    </row>
    <row r="4" customFormat="false" ht="15" hidden="false" customHeight="false" outlineLevel="0" collapsed="false">
      <c r="A4" s="13" t="s">
        <v>61</v>
      </c>
      <c r="B4" s="14" t="n">
        <v>2846.84</v>
      </c>
      <c r="C4" s="13" t="s">
        <v>62</v>
      </c>
      <c r="D4" s="9" t="s">
        <v>63</v>
      </c>
    </row>
    <row r="5" customFormat="false" ht="15" hidden="false" customHeight="false" outlineLevel="0" collapsed="false">
      <c r="A5" s="13" t="s">
        <v>64</v>
      </c>
      <c r="B5" s="15" t="n">
        <v>2</v>
      </c>
      <c r="C5" s="13" t="s">
        <v>59</v>
      </c>
      <c r="D5" s="9" t="s">
        <v>65</v>
      </c>
    </row>
    <row r="6" customFormat="false" ht="15" hidden="false" customHeight="false" outlineLevel="0" collapsed="false">
      <c r="A6" s="13" t="s">
        <v>66</v>
      </c>
      <c r="B6" s="16" t="n">
        <v>163</v>
      </c>
      <c r="C6" s="13" t="s">
        <v>67</v>
      </c>
      <c r="D6" s="9" t="s">
        <v>68</v>
      </c>
    </row>
    <row r="7" customFormat="false" ht="15" hidden="false" customHeight="false" outlineLevel="0" collapsed="false">
      <c r="A7" s="13" t="s">
        <v>69</v>
      </c>
      <c r="B7" s="17" t="n">
        <f aca="false">B4*B5/B6</f>
        <v>34.9305521472393</v>
      </c>
      <c r="C7" s="13" t="s">
        <v>70</v>
      </c>
      <c r="D7" s="9" t="s">
        <v>71</v>
      </c>
    </row>
    <row r="8" customFormat="false" ht="15" hidden="false" customHeight="false" outlineLevel="0" collapsed="false">
      <c r="A8" s="13" t="s">
        <v>72</v>
      </c>
      <c r="B8" s="15" t="n">
        <v>0.25</v>
      </c>
      <c r="C8" s="13" t="s">
        <v>73</v>
      </c>
      <c r="D8" s="9" t="s">
        <v>74</v>
      </c>
    </row>
    <row r="9" customFormat="false" ht="15" hidden="false" customHeight="false" outlineLevel="0" collapsed="false">
      <c r="A9" s="13" t="s">
        <v>75</v>
      </c>
      <c r="B9" s="15" t="n">
        <v>0.75</v>
      </c>
      <c r="C9" s="13" t="s">
        <v>73</v>
      </c>
      <c r="D9" s="9" t="s">
        <v>76</v>
      </c>
    </row>
    <row r="10" customFormat="false" ht="15" hidden="false" customHeight="false" outlineLevel="0" collapsed="false">
      <c r="A10" s="13" t="s">
        <v>77</v>
      </c>
      <c r="B10" s="15" t="n">
        <v>1</v>
      </c>
      <c r="C10" s="13" t="s">
        <v>73</v>
      </c>
      <c r="D10" s="9" t="s">
        <v>78</v>
      </c>
    </row>
    <row r="11" customFormat="false" ht="15" hidden="false" customHeight="false" outlineLevel="0" collapsed="false">
      <c r="A11" s="13" t="s">
        <v>79</v>
      </c>
      <c r="B11" s="15" t="n">
        <v>2</v>
      </c>
      <c r="C11" s="13" t="s">
        <v>73</v>
      </c>
      <c r="D11" s="9" t="s">
        <v>78</v>
      </c>
    </row>
    <row r="12" customFormat="false" ht="15" hidden="false" customHeight="false" outlineLevel="0" collapsed="false">
      <c r="A12" s="13" t="s">
        <v>80</v>
      </c>
      <c r="B12" s="16" t="n">
        <v>16</v>
      </c>
      <c r="C12" s="13" t="s">
        <v>81</v>
      </c>
      <c r="D12" s="9" t="s">
        <v>82</v>
      </c>
    </row>
    <row r="13" customFormat="false" ht="15" hidden="false" customHeight="false" outlineLevel="0" collapsed="false">
      <c r="A13" s="13" t="s">
        <v>83</v>
      </c>
      <c r="B13" s="16" t="n">
        <v>4</v>
      </c>
      <c r="C13" s="13" t="s">
        <v>81</v>
      </c>
      <c r="D13" s="9" t="s">
        <v>78</v>
      </c>
    </row>
    <row r="14" customFormat="false" ht="15" hidden="false" customHeight="false" outlineLevel="0" collapsed="false">
      <c r="A14" s="13" t="s">
        <v>84</v>
      </c>
      <c r="B14" s="18" t="n">
        <v>0.1</v>
      </c>
      <c r="C14" s="13" t="s">
        <v>85</v>
      </c>
      <c r="D14" s="9" t="s">
        <v>86</v>
      </c>
    </row>
    <row r="15" customFormat="false" ht="15" hidden="false" customHeight="false" outlineLevel="0" collapsed="false">
      <c r="A15" s="13" t="s">
        <v>87</v>
      </c>
      <c r="B15" s="16" t="n">
        <v>3</v>
      </c>
      <c r="C15" s="13" t="s">
        <v>88</v>
      </c>
      <c r="D15" s="9" t="s">
        <v>89</v>
      </c>
    </row>
    <row r="16" customFormat="false" ht="15" hidden="false" customHeight="false" outlineLevel="0" collapsed="false">
      <c r="A16" s="13" t="s">
        <v>90</v>
      </c>
      <c r="B16" s="16" t="n">
        <v>24</v>
      </c>
      <c r="C16" s="13" t="s">
        <v>88</v>
      </c>
      <c r="D16" s="9" t="s">
        <v>91</v>
      </c>
    </row>
    <row r="17" customFormat="false" ht="15" hidden="false" customHeight="false" outlineLevel="0" collapsed="false">
      <c r="A17" s="13" t="s">
        <v>92</v>
      </c>
      <c r="B17" s="16" t="n">
        <v>50</v>
      </c>
      <c r="C17" s="13" t="s">
        <v>88</v>
      </c>
      <c r="D17" s="9" t="s">
        <v>93</v>
      </c>
    </row>
    <row r="18" customFormat="false" ht="15" hidden="false" customHeight="false" outlineLevel="0" collapsed="false">
      <c r="A18" s="13" t="s">
        <v>94</v>
      </c>
      <c r="B18" s="16" t="n">
        <v>22</v>
      </c>
      <c r="C18" s="13" t="s">
        <v>95</v>
      </c>
      <c r="D18" s="9" t="s">
        <v>96</v>
      </c>
    </row>
    <row r="19" customFormat="false" ht="15" hidden="false" customHeight="false" outlineLevel="0" collapsed="false">
      <c r="A19" s="13" t="s">
        <v>97</v>
      </c>
      <c r="B19" s="16" t="n">
        <v>5000</v>
      </c>
      <c r="C19" s="13" t="s">
        <v>98</v>
      </c>
      <c r="D19" s="9" t="s">
        <v>99</v>
      </c>
    </row>
    <row r="20" customFormat="false" ht="15" hidden="false" customHeight="false" outlineLevel="0" collapsed="false">
      <c r="A20" s="13" t="s">
        <v>100</v>
      </c>
      <c r="B20" s="15" t="n">
        <v>1.2</v>
      </c>
      <c r="C20" s="13" t="s">
        <v>101</v>
      </c>
      <c r="D20" s="9" t="s">
        <v>102</v>
      </c>
    </row>
    <row r="21" customFormat="false" ht="15" hidden="false" customHeight="false" outlineLevel="0" collapsed="false">
      <c r="A21" s="13" t="s">
        <v>103</v>
      </c>
      <c r="B21" s="16" t="n">
        <v>60</v>
      </c>
      <c r="C21" s="13" t="s">
        <v>70</v>
      </c>
      <c r="D21" s="9" t="s">
        <v>104</v>
      </c>
    </row>
    <row r="22" customFormat="false" ht="15" hidden="false" customHeight="false" outlineLevel="0" collapsed="false">
      <c r="A22" s="13" t="s">
        <v>105</v>
      </c>
      <c r="B22" s="16" t="n">
        <v>30</v>
      </c>
      <c r="C22" s="13" t="s">
        <v>88</v>
      </c>
      <c r="D22" s="9" t="s">
        <v>106</v>
      </c>
    </row>
    <row r="23" customFormat="false" ht="15" hidden="false" customHeight="false" outlineLevel="0" collapsed="false">
      <c r="A23" s="13" t="s">
        <v>107</v>
      </c>
      <c r="B23" s="15" t="n">
        <v>4.5</v>
      </c>
      <c r="C23" s="13" t="s">
        <v>108</v>
      </c>
      <c r="D23" s="9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7" min="6" style="0" width="13"/>
    <col collapsed="false" customWidth="true" hidden="false" outlineLevel="0" max="9" min="8" style="0" width="12"/>
    <col collapsed="false" customWidth="true" hidden="false" outlineLevel="0" max="13" min="10" style="0" width="11"/>
    <col collapsed="false" customWidth="true" hidden="false" outlineLevel="0" max="14" min="14" style="0" width="13"/>
    <col collapsed="false" customWidth="true" hidden="false" outlineLevel="0" max="15" min="15" style="0" width="12"/>
  </cols>
  <sheetData>
    <row r="1" customFormat="false" ht="31.5" hidden="false" customHeight="true" outlineLevel="0" collapsed="false">
      <c r="A1" s="7" t="s">
        <v>110</v>
      </c>
      <c r="B1" s="7" t="s">
        <v>111</v>
      </c>
      <c r="C1" s="7" t="s">
        <v>112</v>
      </c>
      <c r="D1" s="7" t="s">
        <v>113</v>
      </c>
      <c r="E1" s="7" t="s">
        <v>114</v>
      </c>
      <c r="F1" s="7" t="s">
        <v>115</v>
      </c>
      <c r="G1" s="7" t="s">
        <v>116</v>
      </c>
      <c r="H1" s="7" t="s">
        <v>117</v>
      </c>
      <c r="I1" s="7" t="s">
        <v>118</v>
      </c>
      <c r="J1" s="7" t="s">
        <v>119</v>
      </c>
      <c r="K1" s="7" t="s">
        <v>120</v>
      </c>
      <c r="L1" s="7" t="s">
        <v>121</v>
      </c>
      <c r="M1" s="7" t="s">
        <v>122</v>
      </c>
      <c r="N1" s="7" t="s">
        <v>123</v>
      </c>
      <c r="O1" s="7" t="s">
        <v>124</v>
      </c>
    </row>
    <row r="2" customFormat="false" ht="15" hidden="false" customHeight="false" outlineLevel="0" collapsed="false">
      <c r="A2" s="19" t="s">
        <v>125</v>
      </c>
      <c r="B2" s="19" t="s">
        <v>126</v>
      </c>
      <c r="C2" s="19" t="s">
        <v>127</v>
      </c>
      <c r="D2" s="20" t="s">
        <v>128</v>
      </c>
      <c r="E2" s="21" t="n">
        <v>131</v>
      </c>
      <c r="F2" s="21" t="n">
        <v>29</v>
      </c>
      <c r="G2" s="21" t="n">
        <v>20</v>
      </c>
      <c r="H2" s="21" t="n">
        <v>4</v>
      </c>
      <c r="I2" s="21" t="n">
        <v>82</v>
      </c>
      <c r="J2" s="21" t="n">
        <v>4</v>
      </c>
      <c r="K2" s="21" t="n">
        <v>10</v>
      </c>
      <c r="L2" s="21" t="n">
        <v>12</v>
      </c>
      <c r="M2" s="22" t="n">
        <f aca="false">H2+J2</f>
        <v>8</v>
      </c>
      <c r="N2" s="22" t="n">
        <f aca="false">K2+M2+2</f>
        <v>20</v>
      </c>
      <c r="O2" s="21" t="n">
        <v>1</v>
      </c>
    </row>
    <row r="3" customFormat="false" ht="15" hidden="false" customHeight="false" outlineLevel="0" collapsed="false">
      <c r="A3" s="19" t="s">
        <v>129</v>
      </c>
      <c r="B3" s="19" t="s">
        <v>126</v>
      </c>
      <c r="C3" s="19" t="s">
        <v>130</v>
      </c>
      <c r="D3" s="20" t="s">
        <v>128</v>
      </c>
      <c r="E3" s="21" t="n">
        <v>201</v>
      </c>
      <c r="F3" s="21" t="n">
        <v>29</v>
      </c>
      <c r="G3" s="21" t="n">
        <v>16</v>
      </c>
      <c r="H3" s="21" t="n">
        <v>4</v>
      </c>
      <c r="I3" s="21" t="n">
        <v>156</v>
      </c>
      <c r="J3" s="21" t="n">
        <v>8</v>
      </c>
      <c r="K3" s="21" t="n">
        <v>10</v>
      </c>
      <c r="L3" s="21" t="n">
        <v>24</v>
      </c>
      <c r="M3" s="22" t="n">
        <f aca="false">H3+J3</f>
        <v>12</v>
      </c>
      <c r="N3" s="22" t="n">
        <f aca="false">K3+M3+2</f>
        <v>24</v>
      </c>
      <c r="O3" s="21" t="n">
        <v>1</v>
      </c>
    </row>
    <row r="4" customFormat="false" ht="15" hidden="false" customHeight="false" outlineLevel="0" collapsed="false">
      <c r="A4" s="19" t="s">
        <v>131</v>
      </c>
      <c r="B4" s="19" t="s">
        <v>126</v>
      </c>
      <c r="C4" s="19" t="s">
        <v>130</v>
      </c>
      <c r="D4" s="20" t="s">
        <v>132</v>
      </c>
      <c r="E4" s="21" t="n">
        <v>209</v>
      </c>
      <c r="F4" s="21" t="n">
        <v>29</v>
      </c>
      <c r="G4" s="21" t="n">
        <v>20</v>
      </c>
      <c r="H4" s="21" t="n">
        <v>4</v>
      </c>
      <c r="I4" s="21" t="n">
        <v>160</v>
      </c>
      <c r="J4" s="21" t="n">
        <v>8</v>
      </c>
      <c r="K4" s="21" t="n">
        <v>10</v>
      </c>
      <c r="L4" s="21" t="n">
        <v>24</v>
      </c>
      <c r="M4" s="22" t="n">
        <f aca="false">H4+J4</f>
        <v>12</v>
      </c>
      <c r="N4" s="22" t="n">
        <f aca="false">K4+M4+2</f>
        <v>24</v>
      </c>
      <c r="O4" s="21" t="n">
        <v>1</v>
      </c>
    </row>
    <row r="5" customFormat="false" ht="15" hidden="false" customHeight="false" outlineLevel="0" collapsed="false">
      <c r="A5" s="19" t="s">
        <v>133</v>
      </c>
      <c r="B5" s="19" t="s">
        <v>126</v>
      </c>
      <c r="C5" s="19" t="s">
        <v>130</v>
      </c>
      <c r="D5" s="20" t="s">
        <v>128</v>
      </c>
      <c r="E5" s="21" t="n">
        <v>209</v>
      </c>
      <c r="F5" s="21" t="n">
        <v>29</v>
      </c>
      <c r="G5" s="21" t="n">
        <v>20</v>
      </c>
      <c r="H5" s="21" t="n">
        <v>4</v>
      </c>
      <c r="I5" s="21" t="n">
        <v>160</v>
      </c>
      <c r="J5" s="21" t="n">
        <v>8</v>
      </c>
      <c r="K5" s="21" t="n">
        <v>10</v>
      </c>
      <c r="L5" s="21" t="n">
        <v>24</v>
      </c>
      <c r="M5" s="22" t="n">
        <f aca="false">H5+J5</f>
        <v>12</v>
      </c>
      <c r="N5" s="22" t="n">
        <f aca="false">K5+M5+2</f>
        <v>24</v>
      </c>
      <c r="O5" s="21" t="n">
        <v>1</v>
      </c>
    </row>
    <row r="6" customFormat="false" ht="15" hidden="false" customHeight="false" outlineLevel="0" collapsed="false">
      <c r="A6" s="19" t="s">
        <v>134</v>
      </c>
      <c r="B6" s="19" t="s">
        <v>126</v>
      </c>
      <c r="C6" s="19" t="s">
        <v>130</v>
      </c>
      <c r="D6" s="20" t="s">
        <v>128</v>
      </c>
      <c r="E6" s="21" t="n">
        <v>209</v>
      </c>
      <c r="F6" s="21" t="n">
        <v>29</v>
      </c>
      <c r="G6" s="21" t="n">
        <v>20</v>
      </c>
      <c r="H6" s="21" t="n">
        <v>4</v>
      </c>
      <c r="I6" s="21" t="n">
        <v>160</v>
      </c>
      <c r="J6" s="21" t="n">
        <v>8</v>
      </c>
      <c r="K6" s="21" t="n">
        <v>10</v>
      </c>
      <c r="L6" s="21" t="n">
        <v>24</v>
      </c>
      <c r="M6" s="22" t="n">
        <f aca="false">H6+J6</f>
        <v>12</v>
      </c>
      <c r="N6" s="22" t="n">
        <f aca="false">K6+M6+2</f>
        <v>24</v>
      </c>
      <c r="O6" s="21" t="n">
        <v>1</v>
      </c>
    </row>
    <row r="7" customFormat="false" ht="15" hidden="false" customHeight="false" outlineLevel="0" collapsed="false">
      <c r="A7" s="19" t="s">
        <v>135</v>
      </c>
      <c r="B7" s="19" t="s">
        <v>126</v>
      </c>
      <c r="C7" s="19" t="s">
        <v>130</v>
      </c>
      <c r="D7" s="20" t="s">
        <v>128</v>
      </c>
      <c r="E7" s="21" t="n">
        <v>205</v>
      </c>
      <c r="F7" s="21" t="n">
        <v>29</v>
      </c>
      <c r="G7" s="21" t="n">
        <v>16</v>
      </c>
      <c r="H7" s="21" t="n">
        <v>4</v>
      </c>
      <c r="I7" s="21" t="n">
        <v>160</v>
      </c>
      <c r="J7" s="21" t="n">
        <v>8</v>
      </c>
      <c r="K7" s="21" t="n">
        <v>10</v>
      </c>
      <c r="L7" s="21" t="n">
        <v>24</v>
      </c>
      <c r="M7" s="22" t="n">
        <f aca="false">H7+J7</f>
        <v>12</v>
      </c>
      <c r="N7" s="22" t="n">
        <f aca="false">K7+M7+2</f>
        <v>24</v>
      </c>
      <c r="O7" s="21" t="n">
        <v>1</v>
      </c>
    </row>
    <row r="8" customFormat="false" ht="15" hidden="false" customHeight="false" outlineLevel="0" collapsed="false">
      <c r="A8" s="19" t="s">
        <v>136</v>
      </c>
      <c r="B8" s="19" t="s">
        <v>126</v>
      </c>
      <c r="C8" s="19" t="s">
        <v>137</v>
      </c>
      <c r="D8" s="20" t="s">
        <v>128</v>
      </c>
      <c r="E8" s="21" t="n">
        <v>241</v>
      </c>
      <c r="F8" s="21" t="n">
        <v>29</v>
      </c>
      <c r="G8" s="21" t="n">
        <v>20</v>
      </c>
      <c r="H8" s="21" t="n">
        <v>4</v>
      </c>
      <c r="I8" s="21" t="n">
        <v>192</v>
      </c>
      <c r="J8" s="21" t="n">
        <v>9</v>
      </c>
      <c r="K8" s="21" t="n">
        <v>10</v>
      </c>
      <c r="L8" s="21" t="n">
        <v>28</v>
      </c>
      <c r="M8" s="22" t="n">
        <f aca="false">H8+J8</f>
        <v>13</v>
      </c>
      <c r="N8" s="22" t="n">
        <f aca="false">K8+M8+2</f>
        <v>25</v>
      </c>
      <c r="O8" s="21" t="n">
        <v>1</v>
      </c>
    </row>
    <row r="9" customFormat="false" ht="15" hidden="false" customHeight="false" outlineLevel="0" collapsed="false">
      <c r="A9" s="19" t="s">
        <v>138</v>
      </c>
      <c r="B9" s="19" t="s">
        <v>126</v>
      </c>
      <c r="C9" s="19" t="s">
        <v>137</v>
      </c>
      <c r="D9" s="20" t="s">
        <v>128</v>
      </c>
      <c r="E9" s="21" t="n">
        <v>237</v>
      </c>
      <c r="F9" s="21" t="n">
        <v>29</v>
      </c>
      <c r="G9" s="21" t="n">
        <v>20</v>
      </c>
      <c r="H9" s="21" t="n">
        <v>4</v>
      </c>
      <c r="I9" s="21" t="n">
        <v>188</v>
      </c>
      <c r="J9" s="21" t="n">
        <v>9</v>
      </c>
      <c r="K9" s="21" t="n">
        <v>10</v>
      </c>
      <c r="L9" s="21" t="n">
        <v>28</v>
      </c>
      <c r="M9" s="22" t="n">
        <f aca="false">H9+J9</f>
        <v>13</v>
      </c>
      <c r="N9" s="22" t="n">
        <f aca="false">K9+M9+2</f>
        <v>25</v>
      </c>
      <c r="O9" s="21" t="n">
        <v>1</v>
      </c>
    </row>
    <row r="10" customFormat="false" ht="15" hidden="false" customHeight="false" outlineLevel="0" collapsed="false">
      <c r="A10" s="19" t="s">
        <v>139</v>
      </c>
      <c r="B10" s="19" t="s">
        <v>126</v>
      </c>
      <c r="C10" s="19" t="s">
        <v>130</v>
      </c>
      <c r="D10" s="20" t="s">
        <v>128</v>
      </c>
      <c r="E10" s="21" t="n">
        <v>205</v>
      </c>
      <c r="F10" s="21" t="n">
        <v>29</v>
      </c>
      <c r="G10" s="21" t="n">
        <v>16</v>
      </c>
      <c r="H10" s="21" t="n">
        <v>4</v>
      </c>
      <c r="I10" s="21" t="n">
        <v>160</v>
      </c>
      <c r="J10" s="21" t="n">
        <v>8</v>
      </c>
      <c r="K10" s="21" t="n">
        <v>10</v>
      </c>
      <c r="L10" s="21" t="n">
        <v>24</v>
      </c>
      <c r="M10" s="22" t="n">
        <f aca="false">H10+J10</f>
        <v>12</v>
      </c>
      <c r="N10" s="22" t="n">
        <f aca="false">K10+M10+2</f>
        <v>24</v>
      </c>
      <c r="O10" s="21" t="n">
        <v>1</v>
      </c>
    </row>
    <row r="11" customFormat="false" ht="15" hidden="false" customHeight="false" outlineLevel="0" collapsed="false">
      <c r="A11" s="19" t="s">
        <v>140</v>
      </c>
      <c r="B11" s="19" t="s">
        <v>126</v>
      </c>
      <c r="C11" s="19" t="s">
        <v>130</v>
      </c>
      <c r="D11" s="20" t="s">
        <v>128</v>
      </c>
      <c r="E11" s="21" t="n">
        <v>209</v>
      </c>
      <c r="F11" s="21" t="n">
        <v>29</v>
      </c>
      <c r="G11" s="21" t="n">
        <v>20</v>
      </c>
      <c r="H11" s="21" t="n">
        <v>4</v>
      </c>
      <c r="I11" s="21" t="n">
        <v>160</v>
      </c>
      <c r="J11" s="21" t="n">
        <v>8</v>
      </c>
      <c r="K11" s="21" t="n">
        <v>10</v>
      </c>
      <c r="L11" s="21" t="n">
        <v>24</v>
      </c>
      <c r="M11" s="22" t="n">
        <f aca="false">H11+J11</f>
        <v>12</v>
      </c>
      <c r="N11" s="22" t="n">
        <f aca="false">K11+M11+2</f>
        <v>24</v>
      </c>
      <c r="O11" s="21" t="n">
        <v>1</v>
      </c>
    </row>
    <row r="12" customFormat="false" ht="15" hidden="false" customHeight="false" outlineLevel="0" collapsed="false">
      <c r="A12" s="19" t="s">
        <v>141</v>
      </c>
      <c r="B12" s="19" t="s">
        <v>126</v>
      </c>
      <c r="C12" s="19" t="s">
        <v>130</v>
      </c>
      <c r="D12" s="20" t="s">
        <v>128</v>
      </c>
      <c r="E12" s="21" t="n">
        <v>203</v>
      </c>
      <c r="F12" s="21" t="n">
        <v>29</v>
      </c>
      <c r="G12" s="21" t="n">
        <v>14</v>
      </c>
      <c r="H12" s="21" t="n">
        <v>4</v>
      </c>
      <c r="I12" s="21" t="n">
        <v>160</v>
      </c>
      <c r="J12" s="21" t="n">
        <v>8</v>
      </c>
      <c r="K12" s="21" t="n">
        <v>10</v>
      </c>
      <c r="L12" s="21" t="n">
        <v>24</v>
      </c>
      <c r="M12" s="22" t="n">
        <f aca="false">H12+J12</f>
        <v>12</v>
      </c>
      <c r="N12" s="22" t="n">
        <f aca="false">K12+M12+2</f>
        <v>24</v>
      </c>
      <c r="O12" s="21" t="n">
        <v>1</v>
      </c>
    </row>
    <row r="13" customFormat="false" ht="15" hidden="false" customHeight="false" outlineLevel="0" collapsed="false">
      <c r="A13" s="19" t="s">
        <v>142</v>
      </c>
      <c r="B13" s="19" t="s">
        <v>126</v>
      </c>
      <c r="C13" s="19" t="s">
        <v>130</v>
      </c>
      <c r="D13" s="20" t="s">
        <v>128</v>
      </c>
      <c r="E13" s="21" t="n">
        <v>209</v>
      </c>
      <c r="F13" s="21" t="n">
        <v>29</v>
      </c>
      <c r="G13" s="21" t="n">
        <v>20</v>
      </c>
      <c r="H13" s="21" t="n">
        <v>4</v>
      </c>
      <c r="I13" s="21" t="n">
        <v>160</v>
      </c>
      <c r="J13" s="21" t="n">
        <v>8</v>
      </c>
      <c r="K13" s="21" t="n">
        <v>10</v>
      </c>
      <c r="L13" s="21" t="n">
        <v>24</v>
      </c>
      <c r="M13" s="22" t="n">
        <f aca="false">H13+J13</f>
        <v>12</v>
      </c>
      <c r="N13" s="22" t="n">
        <f aca="false">K13+M13+2</f>
        <v>24</v>
      </c>
      <c r="O13" s="21" t="n">
        <v>1</v>
      </c>
    </row>
    <row r="14" customFormat="false" ht="15" hidden="false" customHeight="false" outlineLevel="0" collapsed="false">
      <c r="A14" s="19" t="s">
        <v>143</v>
      </c>
      <c r="B14" s="19" t="s">
        <v>126</v>
      </c>
      <c r="C14" s="19" t="s">
        <v>137</v>
      </c>
      <c r="D14" s="20" t="s">
        <v>128</v>
      </c>
      <c r="E14" s="21" t="n">
        <v>231</v>
      </c>
      <c r="F14" s="21" t="n">
        <v>29</v>
      </c>
      <c r="G14" s="21" t="n">
        <v>10</v>
      </c>
      <c r="H14" s="21" t="n">
        <v>4</v>
      </c>
      <c r="I14" s="21" t="n">
        <v>192</v>
      </c>
      <c r="J14" s="21" t="n">
        <v>9</v>
      </c>
      <c r="K14" s="21" t="n">
        <v>10</v>
      </c>
      <c r="L14" s="21" t="n">
        <v>28</v>
      </c>
      <c r="M14" s="22" t="n">
        <f aca="false">H14+J14</f>
        <v>13</v>
      </c>
      <c r="N14" s="22" t="n">
        <f aca="false">K14+M14+2</f>
        <v>25</v>
      </c>
      <c r="O14" s="21" t="n">
        <v>1</v>
      </c>
    </row>
    <row r="15" customFormat="false" ht="15" hidden="false" customHeight="false" outlineLevel="0" collapsed="false">
      <c r="A15" s="19" t="s">
        <v>144</v>
      </c>
      <c r="B15" s="19" t="s">
        <v>126</v>
      </c>
      <c r="C15" s="19" t="s">
        <v>137</v>
      </c>
      <c r="D15" s="20" t="s">
        <v>128</v>
      </c>
      <c r="E15" s="21" t="n">
        <v>237</v>
      </c>
      <c r="F15" s="21" t="n">
        <v>29</v>
      </c>
      <c r="G15" s="21" t="n">
        <v>20</v>
      </c>
      <c r="H15" s="21" t="n">
        <v>4</v>
      </c>
      <c r="I15" s="21" t="n">
        <v>188</v>
      </c>
      <c r="J15" s="21" t="n">
        <v>9</v>
      </c>
      <c r="K15" s="21" t="n">
        <v>10</v>
      </c>
      <c r="L15" s="21" t="n">
        <v>28</v>
      </c>
      <c r="M15" s="22" t="n">
        <f aca="false">H15+J15</f>
        <v>13</v>
      </c>
      <c r="N15" s="22" t="n">
        <f aca="false">K15+M15+2</f>
        <v>25</v>
      </c>
      <c r="O15" s="21" t="n">
        <v>1</v>
      </c>
    </row>
    <row r="16" customFormat="false" ht="15" hidden="false" customHeight="false" outlineLevel="0" collapsed="false">
      <c r="A16" s="19" t="s">
        <v>145</v>
      </c>
      <c r="B16" s="19" t="s">
        <v>126</v>
      </c>
      <c r="C16" s="19" t="s">
        <v>130</v>
      </c>
      <c r="D16" s="20" t="s">
        <v>128</v>
      </c>
      <c r="E16" s="21" t="n">
        <v>205</v>
      </c>
      <c r="F16" s="21" t="n">
        <v>29</v>
      </c>
      <c r="G16" s="21" t="n">
        <v>16</v>
      </c>
      <c r="H16" s="21" t="n">
        <v>4</v>
      </c>
      <c r="I16" s="21" t="n">
        <v>160</v>
      </c>
      <c r="J16" s="21" t="n">
        <v>8</v>
      </c>
      <c r="K16" s="21" t="n">
        <v>10</v>
      </c>
      <c r="L16" s="21" t="n">
        <v>24</v>
      </c>
      <c r="M16" s="22" t="n">
        <f aca="false">H16+J16</f>
        <v>12</v>
      </c>
      <c r="N16" s="22" t="n">
        <f aca="false">K16+M16+2</f>
        <v>24</v>
      </c>
      <c r="O16" s="21" t="n">
        <v>1</v>
      </c>
    </row>
    <row r="17" customFormat="false" ht="15" hidden="false" customHeight="false" outlineLevel="0" collapsed="false">
      <c r="A17" s="19" t="s">
        <v>146</v>
      </c>
      <c r="B17" s="19" t="s">
        <v>126</v>
      </c>
      <c r="C17" s="19" t="s">
        <v>130</v>
      </c>
      <c r="D17" s="20" t="s">
        <v>128</v>
      </c>
      <c r="E17" s="21" t="n">
        <v>209</v>
      </c>
      <c r="F17" s="21" t="n">
        <v>29</v>
      </c>
      <c r="G17" s="21" t="n">
        <v>20</v>
      </c>
      <c r="H17" s="21" t="n">
        <v>4</v>
      </c>
      <c r="I17" s="21" t="n">
        <v>160</v>
      </c>
      <c r="J17" s="21" t="n">
        <v>8</v>
      </c>
      <c r="K17" s="21" t="n">
        <v>10</v>
      </c>
      <c r="L17" s="21" t="n">
        <v>24</v>
      </c>
      <c r="M17" s="22" t="n">
        <f aca="false">H17+J17</f>
        <v>12</v>
      </c>
      <c r="N17" s="22" t="n">
        <f aca="false">K17+M17+2</f>
        <v>24</v>
      </c>
      <c r="O17" s="21" t="n">
        <v>1</v>
      </c>
    </row>
    <row r="18" customFormat="false" ht="15" hidden="false" customHeight="false" outlineLevel="0" collapsed="false">
      <c r="A18" s="19" t="s">
        <v>147</v>
      </c>
      <c r="B18" s="19" t="s">
        <v>126</v>
      </c>
      <c r="C18" s="19" t="s">
        <v>130</v>
      </c>
      <c r="D18" s="20" t="s">
        <v>128</v>
      </c>
      <c r="E18" s="21" t="n">
        <v>203</v>
      </c>
      <c r="F18" s="21" t="n">
        <v>29</v>
      </c>
      <c r="G18" s="21" t="n">
        <v>14</v>
      </c>
      <c r="H18" s="21" t="n">
        <v>4</v>
      </c>
      <c r="I18" s="21" t="n">
        <v>160</v>
      </c>
      <c r="J18" s="21" t="n">
        <v>8</v>
      </c>
      <c r="K18" s="21" t="n">
        <v>10</v>
      </c>
      <c r="L18" s="21" t="n">
        <v>24</v>
      </c>
      <c r="M18" s="22" t="n">
        <f aca="false">H18+J18</f>
        <v>12</v>
      </c>
      <c r="N18" s="22" t="n">
        <f aca="false">K18+M18+2</f>
        <v>24</v>
      </c>
      <c r="O18" s="21" t="n">
        <v>1</v>
      </c>
    </row>
    <row r="19" customFormat="false" ht="15" hidden="false" customHeight="false" outlineLevel="0" collapsed="false">
      <c r="A19" s="19" t="s">
        <v>148</v>
      </c>
      <c r="B19" s="19" t="s">
        <v>126</v>
      </c>
      <c r="C19" s="19" t="s">
        <v>130</v>
      </c>
      <c r="D19" s="20" t="s">
        <v>128</v>
      </c>
      <c r="E19" s="21" t="n">
        <v>209</v>
      </c>
      <c r="F19" s="21" t="n">
        <v>29</v>
      </c>
      <c r="G19" s="21" t="n">
        <v>20</v>
      </c>
      <c r="H19" s="21" t="n">
        <v>4</v>
      </c>
      <c r="I19" s="21" t="n">
        <v>160</v>
      </c>
      <c r="J19" s="21" t="n">
        <v>8</v>
      </c>
      <c r="K19" s="21" t="n">
        <v>10</v>
      </c>
      <c r="L19" s="21" t="n">
        <v>24</v>
      </c>
      <c r="M19" s="22" t="n">
        <f aca="false">H19+J19</f>
        <v>12</v>
      </c>
      <c r="N19" s="22" t="n">
        <f aca="false">K19+M19+2</f>
        <v>24</v>
      </c>
      <c r="O19" s="21" t="n">
        <v>1</v>
      </c>
    </row>
    <row r="20" customFormat="false" ht="15" hidden="false" customHeight="false" outlineLevel="0" collapsed="false">
      <c r="A20" s="19" t="s">
        <v>149</v>
      </c>
      <c r="B20" s="19" t="s">
        <v>126</v>
      </c>
      <c r="C20" s="19" t="s">
        <v>130</v>
      </c>
      <c r="D20" s="20" t="s">
        <v>128</v>
      </c>
      <c r="E20" s="21" t="n">
        <v>199</v>
      </c>
      <c r="F20" s="21" t="n">
        <v>29</v>
      </c>
      <c r="G20" s="21" t="n">
        <v>10</v>
      </c>
      <c r="H20" s="21" t="n">
        <v>4</v>
      </c>
      <c r="I20" s="21" t="n">
        <v>160</v>
      </c>
      <c r="J20" s="21" t="n">
        <v>8</v>
      </c>
      <c r="K20" s="21" t="n">
        <v>10</v>
      </c>
      <c r="L20" s="21" t="n">
        <v>24</v>
      </c>
      <c r="M20" s="22" t="n">
        <f aca="false">H20+J20</f>
        <v>12</v>
      </c>
      <c r="N20" s="22" t="n">
        <f aca="false">K20+M20+2</f>
        <v>24</v>
      </c>
      <c r="O20" s="21" t="n">
        <v>1</v>
      </c>
    </row>
    <row r="21" customFormat="false" ht="15" hidden="false" customHeight="false" outlineLevel="0" collapsed="false">
      <c r="A21" s="19" t="s">
        <v>150</v>
      </c>
      <c r="B21" s="19" t="s">
        <v>126</v>
      </c>
      <c r="C21" s="19" t="s">
        <v>127</v>
      </c>
      <c r="D21" s="20" t="s">
        <v>128</v>
      </c>
      <c r="E21" s="21" t="n">
        <v>43</v>
      </c>
      <c r="F21" s="21" t="n">
        <v>29</v>
      </c>
      <c r="G21" s="21" t="n">
        <v>10</v>
      </c>
      <c r="H21" s="21" t="n">
        <v>4</v>
      </c>
      <c r="I21" s="21" t="n">
        <v>4</v>
      </c>
      <c r="J21" s="21" t="n">
        <v>1</v>
      </c>
      <c r="K21" s="21" t="n">
        <v>10</v>
      </c>
      <c r="L21" s="21" t="n">
        <v>0</v>
      </c>
      <c r="M21" s="22" t="n">
        <f aca="false">H21+J21</f>
        <v>5</v>
      </c>
      <c r="N21" s="22" t="n">
        <f aca="false">K21+M21+2</f>
        <v>17</v>
      </c>
      <c r="O21" s="21" t="n">
        <v>1</v>
      </c>
    </row>
    <row r="22" customFormat="false" ht="15" hidden="false" customHeight="false" outlineLevel="0" collapsed="false">
      <c r="A22" s="19" t="s">
        <v>151</v>
      </c>
      <c r="B22" s="19" t="s">
        <v>152</v>
      </c>
      <c r="C22" s="19" t="s">
        <v>127</v>
      </c>
      <c r="D22" s="20" t="s">
        <v>128</v>
      </c>
      <c r="E22" s="21" t="n">
        <v>176</v>
      </c>
      <c r="F22" s="21" t="n">
        <v>35</v>
      </c>
      <c r="G22" s="21" t="n">
        <v>13</v>
      </c>
      <c r="H22" s="21" t="n">
        <v>4</v>
      </c>
      <c r="I22" s="21" t="n">
        <v>128</v>
      </c>
      <c r="J22" s="21" t="n">
        <v>8</v>
      </c>
      <c r="K22" s="21" t="n">
        <v>10</v>
      </c>
      <c r="L22" s="21" t="n">
        <v>24</v>
      </c>
      <c r="M22" s="22" t="n">
        <f aca="false">H22+J22</f>
        <v>12</v>
      </c>
      <c r="N22" s="22" t="n">
        <f aca="false">K22+M22+2</f>
        <v>24</v>
      </c>
      <c r="O22" s="21" t="n">
        <v>1</v>
      </c>
    </row>
    <row r="23" customFormat="false" ht="15" hidden="false" customHeight="false" outlineLevel="0" collapsed="false">
      <c r="A23" s="19" t="s">
        <v>153</v>
      </c>
      <c r="B23" s="19" t="s">
        <v>152</v>
      </c>
      <c r="C23" s="19" t="s">
        <v>130</v>
      </c>
      <c r="D23" s="20" t="s">
        <v>132</v>
      </c>
      <c r="E23" s="21" t="n">
        <v>181</v>
      </c>
      <c r="F23" s="21" t="n">
        <v>35</v>
      </c>
      <c r="G23" s="21" t="n">
        <v>15</v>
      </c>
      <c r="H23" s="21" t="n">
        <v>4</v>
      </c>
      <c r="I23" s="21" t="n">
        <v>131</v>
      </c>
      <c r="J23" s="21" t="n">
        <v>8</v>
      </c>
      <c r="K23" s="21" t="n">
        <v>10</v>
      </c>
      <c r="L23" s="21" t="n">
        <v>24</v>
      </c>
      <c r="M23" s="22" t="n">
        <f aca="false">H23+J23</f>
        <v>12</v>
      </c>
      <c r="N23" s="22" t="n">
        <f aca="false">K23+M23+2</f>
        <v>24</v>
      </c>
      <c r="O23" s="21" t="n">
        <v>1</v>
      </c>
    </row>
    <row r="24" customFormat="false" ht="15" hidden="false" customHeight="false" outlineLevel="0" collapsed="false">
      <c r="A24" s="19" t="s">
        <v>154</v>
      </c>
      <c r="B24" s="19" t="s">
        <v>152</v>
      </c>
      <c r="C24" s="19" t="s">
        <v>130</v>
      </c>
      <c r="D24" s="20" t="s">
        <v>128</v>
      </c>
      <c r="E24" s="21" t="n">
        <v>181</v>
      </c>
      <c r="F24" s="21" t="n">
        <v>35</v>
      </c>
      <c r="G24" s="21" t="n">
        <v>15</v>
      </c>
      <c r="H24" s="21" t="n">
        <v>4</v>
      </c>
      <c r="I24" s="21" t="n">
        <v>131</v>
      </c>
      <c r="J24" s="21" t="n">
        <v>8</v>
      </c>
      <c r="K24" s="21" t="n">
        <v>10</v>
      </c>
      <c r="L24" s="21" t="n">
        <v>24</v>
      </c>
      <c r="M24" s="22" t="n">
        <f aca="false">H24+J24</f>
        <v>12</v>
      </c>
      <c r="N24" s="22" t="n">
        <f aca="false">K24+M24+2</f>
        <v>24</v>
      </c>
      <c r="O24" s="21" t="n">
        <v>1</v>
      </c>
    </row>
    <row r="25" customFormat="false" ht="15" hidden="false" customHeight="false" outlineLevel="0" collapsed="false">
      <c r="A25" s="19" t="s">
        <v>155</v>
      </c>
      <c r="B25" s="19" t="s">
        <v>152</v>
      </c>
      <c r="C25" s="19" t="s">
        <v>130</v>
      </c>
      <c r="D25" s="20" t="s">
        <v>128</v>
      </c>
      <c r="E25" s="21" t="n">
        <v>181</v>
      </c>
      <c r="F25" s="21" t="n">
        <v>35</v>
      </c>
      <c r="G25" s="21" t="n">
        <v>15</v>
      </c>
      <c r="H25" s="21" t="n">
        <v>4</v>
      </c>
      <c r="I25" s="21" t="n">
        <v>131</v>
      </c>
      <c r="J25" s="21" t="n">
        <v>8</v>
      </c>
      <c r="K25" s="21" t="n">
        <v>10</v>
      </c>
      <c r="L25" s="21" t="n">
        <v>24</v>
      </c>
      <c r="M25" s="22" t="n">
        <f aca="false">H25+J25</f>
        <v>12</v>
      </c>
      <c r="N25" s="22" t="n">
        <f aca="false">K25+M25+2</f>
        <v>24</v>
      </c>
      <c r="O25" s="21" t="n">
        <v>1</v>
      </c>
    </row>
    <row r="26" customFormat="false" ht="15" hidden="false" customHeight="false" outlineLevel="0" collapsed="false">
      <c r="A26" s="19" t="s">
        <v>156</v>
      </c>
      <c r="B26" s="19" t="s">
        <v>152</v>
      </c>
      <c r="C26" s="19" t="s">
        <v>130</v>
      </c>
      <c r="D26" s="20" t="s">
        <v>128</v>
      </c>
      <c r="E26" s="21" t="n">
        <v>179</v>
      </c>
      <c r="F26" s="21" t="n">
        <v>35</v>
      </c>
      <c r="G26" s="21" t="n">
        <v>13</v>
      </c>
      <c r="H26" s="21" t="n">
        <v>4</v>
      </c>
      <c r="I26" s="21" t="n">
        <v>131</v>
      </c>
      <c r="J26" s="21" t="n">
        <v>8</v>
      </c>
      <c r="K26" s="21" t="n">
        <v>10</v>
      </c>
      <c r="L26" s="21" t="n">
        <v>24</v>
      </c>
      <c r="M26" s="22" t="n">
        <f aca="false">H26+J26</f>
        <v>12</v>
      </c>
      <c r="N26" s="22" t="n">
        <f aca="false">K26+M26+2</f>
        <v>24</v>
      </c>
      <c r="O26" s="21" t="n">
        <v>1</v>
      </c>
    </row>
    <row r="27" customFormat="false" ht="15" hidden="false" customHeight="false" outlineLevel="0" collapsed="false">
      <c r="A27" s="19" t="s">
        <v>157</v>
      </c>
      <c r="B27" s="19" t="s">
        <v>152</v>
      </c>
      <c r="C27" s="19" t="s">
        <v>130</v>
      </c>
      <c r="D27" s="20" t="s">
        <v>128</v>
      </c>
      <c r="E27" s="21" t="n">
        <v>181</v>
      </c>
      <c r="F27" s="21" t="n">
        <v>35</v>
      </c>
      <c r="G27" s="21" t="n">
        <v>15</v>
      </c>
      <c r="H27" s="21" t="n">
        <v>4</v>
      </c>
      <c r="I27" s="21" t="n">
        <v>131</v>
      </c>
      <c r="J27" s="21" t="n">
        <v>8</v>
      </c>
      <c r="K27" s="21" t="n">
        <v>10</v>
      </c>
      <c r="L27" s="21" t="n">
        <v>24</v>
      </c>
      <c r="M27" s="22" t="n">
        <f aca="false">H27+J27</f>
        <v>12</v>
      </c>
      <c r="N27" s="22" t="n">
        <f aca="false">K27+M27+2</f>
        <v>24</v>
      </c>
      <c r="O27" s="21" t="n">
        <v>1</v>
      </c>
    </row>
    <row r="28" customFormat="false" ht="15" hidden="false" customHeight="false" outlineLevel="0" collapsed="false">
      <c r="A28" s="19" t="s">
        <v>158</v>
      </c>
      <c r="B28" s="19" t="s">
        <v>152</v>
      </c>
      <c r="C28" s="19" t="s">
        <v>137</v>
      </c>
      <c r="D28" s="20" t="s">
        <v>128</v>
      </c>
      <c r="E28" s="21" t="n">
        <v>280</v>
      </c>
      <c r="F28" s="21" t="n">
        <v>35</v>
      </c>
      <c r="G28" s="21" t="n">
        <v>15</v>
      </c>
      <c r="H28" s="21" t="n">
        <v>4</v>
      </c>
      <c r="I28" s="21" t="n">
        <v>230</v>
      </c>
      <c r="J28" s="21" t="n">
        <v>11</v>
      </c>
      <c r="K28" s="21" t="n">
        <v>10</v>
      </c>
      <c r="L28" s="21" t="n">
        <v>36</v>
      </c>
      <c r="M28" s="22" t="n">
        <f aca="false">H28+J28</f>
        <v>15</v>
      </c>
      <c r="N28" s="22" t="n">
        <f aca="false">K28+M28+2</f>
        <v>27</v>
      </c>
      <c r="O28" s="21" t="n">
        <v>1</v>
      </c>
    </row>
    <row r="29" customFormat="false" ht="15" hidden="false" customHeight="false" outlineLevel="0" collapsed="false">
      <c r="A29" s="19" t="s">
        <v>159</v>
      </c>
      <c r="B29" s="19" t="s">
        <v>152</v>
      </c>
      <c r="C29" s="19" t="s">
        <v>137</v>
      </c>
      <c r="D29" s="20" t="s">
        <v>128</v>
      </c>
      <c r="E29" s="21" t="n">
        <v>277</v>
      </c>
      <c r="F29" s="21" t="n">
        <v>35</v>
      </c>
      <c r="G29" s="21" t="n">
        <v>15</v>
      </c>
      <c r="H29" s="21" t="n">
        <v>4</v>
      </c>
      <c r="I29" s="21" t="n">
        <v>227</v>
      </c>
      <c r="J29" s="21" t="n">
        <v>11</v>
      </c>
      <c r="K29" s="21" t="n">
        <v>10</v>
      </c>
      <c r="L29" s="21" t="n">
        <v>36</v>
      </c>
      <c r="M29" s="22" t="n">
        <f aca="false">H29+J29</f>
        <v>15</v>
      </c>
      <c r="N29" s="22" t="n">
        <f aca="false">K29+M29+2</f>
        <v>27</v>
      </c>
      <c r="O29" s="21" t="n">
        <v>1</v>
      </c>
    </row>
    <row r="30" customFormat="false" ht="15" hidden="false" customHeight="false" outlineLevel="0" collapsed="false">
      <c r="A30" s="19" t="s">
        <v>160</v>
      </c>
      <c r="B30" s="19" t="s">
        <v>152</v>
      </c>
      <c r="C30" s="19" t="s">
        <v>130</v>
      </c>
      <c r="D30" s="20" t="s">
        <v>128</v>
      </c>
      <c r="E30" s="21" t="n">
        <v>179</v>
      </c>
      <c r="F30" s="21" t="n">
        <v>35</v>
      </c>
      <c r="G30" s="21" t="n">
        <v>13</v>
      </c>
      <c r="H30" s="21" t="n">
        <v>4</v>
      </c>
      <c r="I30" s="21" t="n">
        <v>131</v>
      </c>
      <c r="J30" s="21" t="n">
        <v>8</v>
      </c>
      <c r="K30" s="21" t="n">
        <v>10</v>
      </c>
      <c r="L30" s="21" t="n">
        <v>24</v>
      </c>
      <c r="M30" s="22" t="n">
        <f aca="false">H30+J30</f>
        <v>12</v>
      </c>
      <c r="N30" s="22" t="n">
        <f aca="false">K30+M30+2</f>
        <v>24</v>
      </c>
      <c r="O30" s="21" t="n">
        <v>1</v>
      </c>
    </row>
    <row r="31" customFormat="false" ht="15" hidden="false" customHeight="false" outlineLevel="0" collapsed="false">
      <c r="A31" s="19" t="s">
        <v>161</v>
      </c>
      <c r="B31" s="19" t="s">
        <v>152</v>
      </c>
      <c r="C31" s="19" t="s">
        <v>130</v>
      </c>
      <c r="D31" s="20" t="s">
        <v>128</v>
      </c>
      <c r="E31" s="21" t="n">
        <v>181</v>
      </c>
      <c r="F31" s="21" t="n">
        <v>35</v>
      </c>
      <c r="G31" s="21" t="n">
        <v>15</v>
      </c>
      <c r="H31" s="21" t="n">
        <v>4</v>
      </c>
      <c r="I31" s="21" t="n">
        <v>131</v>
      </c>
      <c r="J31" s="21" t="n">
        <v>8</v>
      </c>
      <c r="K31" s="21" t="n">
        <v>10</v>
      </c>
      <c r="L31" s="21" t="n">
        <v>24</v>
      </c>
      <c r="M31" s="22" t="n">
        <f aca="false">H31+J31</f>
        <v>12</v>
      </c>
      <c r="N31" s="22" t="n">
        <f aca="false">K31+M31+2</f>
        <v>24</v>
      </c>
      <c r="O31" s="21" t="n">
        <v>1</v>
      </c>
    </row>
    <row r="32" customFormat="false" ht="15" hidden="false" customHeight="false" outlineLevel="0" collapsed="false">
      <c r="A32" s="19" t="s">
        <v>162</v>
      </c>
      <c r="B32" s="19" t="s">
        <v>152</v>
      </c>
      <c r="C32" s="19" t="s">
        <v>130</v>
      </c>
      <c r="D32" s="20" t="s">
        <v>128</v>
      </c>
      <c r="E32" s="21" t="n">
        <v>177</v>
      </c>
      <c r="F32" s="21" t="n">
        <v>35</v>
      </c>
      <c r="G32" s="21" t="n">
        <v>11</v>
      </c>
      <c r="H32" s="21" t="n">
        <v>4</v>
      </c>
      <c r="I32" s="21" t="n">
        <v>131</v>
      </c>
      <c r="J32" s="21" t="n">
        <v>8</v>
      </c>
      <c r="K32" s="21" t="n">
        <v>10</v>
      </c>
      <c r="L32" s="21" t="n">
        <v>24</v>
      </c>
      <c r="M32" s="22" t="n">
        <f aca="false">H32+J32</f>
        <v>12</v>
      </c>
      <c r="N32" s="22" t="n">
        <f aca="false">K32+M32+2</f>
        <v>24</v>
      </c>
      <c r="O32" s="21" t="n">
        <v>1</v>
      </c>
    </row>
    <row r="33" customFormat="false" ht="15" hidden="false" customHeight="false" outlineLevel="0" collapsed="false">
      <c r="A33" s="19" t="s">
        <v>163</v>
      </c>
      <c r="B33" s="19" t="s">
        <v>152</v>
      </c>
      <c r="C33" s="19" t="s">
        <v>130</v>
      </c>
      <c r="D33" s="20" t="s">
        <v>128</v>
      </c>
      <c r="E33" s="21" t="n">
        <v>181</v>
      </c>
      <c r="F33" s="21" t="n">
        <v>35</v>
      </c>
      <c r="G33" s="21" t="n">
        <v>15</v>
      </c>
      <c r="H33" s="21" t="n">
        <v>4</v>
      </c>
      <c r="I33" s="21" t="n">
        <v>131</v>
      </c>
      <c r="J33" s="21" t="n">
        <v>8</v>
      </c>
      <c r="K33" s="21" t="n">
        <v>10</v>
      </c>
      <c r="L33" s="21" t="n">
        <v>24</v>
      </c>
      <c r="M33" s="22" t="n">
        <f aca="false">H33+J33</f>
        <v>12</v>
      </c>
      <c r="N33" s="22" t="n">
        <f aca="false">K33+M33+2</f>
        <v>24</v>
      </c>
      <c r="O33" s="21" t="n">
        <v>1</v>
      </c>
    </row>
    <row r="34" customFormat="false" ht="15" hidden="false" customHeight="false" outlineLevel="0" collapsed="false">
      <c r="A34" s="19" t="s">
        <v>164</v>
      </c>
      <c r="B34" s="19" t="s">
        <v>152</v>
      </c>
      <c r="C34" s="19" t="s">
        <v>137</v>
      </c>
      <c r="D34" s="20" t="s">
        <v>128</v>
      </c>
      <c r="E34" s="21" t="n">
        <v>274</v>
      </c>
      <c r="F34" s="21" t="n">
        <v>35</v>
      </c>
      <c r="G34" s="21" t="n">
        <v>9</v>
      </c>
      <c r="H34" s="21" t="n">
        <v>4</v>
      </c>
      <c r="I34" s="21" t="n">
        <v>230</v>
      </c>
      <c r="J34" s="21" t="n">
        <v>11</v>
      </c>
      <c r="K34" s="21" t="n">
        <v>10</v>
      </c>
      <c r="L34" s="21" t="n">
        <v>36</v>
      </c>
      <c r="M34" s="22" t="n">
        <f aca="false">H34+J34</f>
        <v>15</v>
      </c>
      <c r="N34" s="22" t="n">
        <f aca="false">K34+M34+2</f>
        <v>27</v>
      </c>
      <c r="O34" s="21" t="n">
        <v>1</v>
      </c>
    </row>
    <row r="35" customFormat="false" ht="15" hidden="false" customHeight="false" outlineLevel="0" collapsed="false">
      <c r="A35" s="19" t="s">
        <v>165</v>
      </c>
      <c r="B35" s="19" t="s">
        <v>152</v>
      </c>
      <c r="C35" s="19" t="s">
        <v>137</v>
      </c>
      <c r="D35" s="20" t="s">
        <v>128</v>
      </c>
      <c r="E35" s="21" t="n">
        <v>277</v>
      </c>
      <c r="F35" s="21" t="n">
        <v>35</v>
      </c>
      <c r="G35" s="21" t="n">
        <v>15</v>
      </c>
      <c r="H35" s="21" t="n">
        <v>4</v>
      </c>
      <c r="I35" s="21" t="n">
        <v>227</v>
      </c>
      <c r="J35" s="21" t="n">
        <v>11</v>
      </c>
      <c r="K35" s="21" t="n">
        <v>10</v>
      </c>
      <c r="L35" s="21" t="n">
        <v>36</v>
      </c>
      <c r="M35" s="22" t="n">
        <f aca="false">H35+J35</f>
        <v>15</v>
      </c>
      <c r="N35" s="22" t="n">
        <f aca="false">K35+M35+2</f>
        <v>27</v>
      </c>
      <c r="O35" s="21" t="n">
        <v>1</v>
      </c>
    </row>
    <row r="36" customFormat="false" ht="15" hidden="false" customHeight="false" outlineLevel="0" collapsed="false">
      <c r="A36" s="19" t="s">
        <v>166</v>
      </c>
      <c r="B36" s="19" t="s">
        <v>152</v>
      </c>
      <c r="C36" s="19" t="s">
        <v>130</v>
      </c>
      <c r="D36" s="20" t="s">
        <v>128</v>
      </c>
      <c r="E36" s="21" t="n">
        <v>179</v>
      </c>
      <c r="F36" s="21" t="n">
        <v>35</v>
      </c>
      <c r="G36" s="21" t="n">
        <v>13</v>
      </c>
      <c r="H36" s="21" t="n">
        <v>4</v>
      </c>
      <c r="I36" s="21" t="n">
        <v>131</v>
      </c>
      <c r="J36" s="21" t="n">
        <v>8</v>
      </c>
      <c r="K36" s="21" t="n">
        <v>10</v>
      </c>
      <c r="L36" s="21" t="n">
        <v>24</v>
      </c>
      <c r="M36" s="22" t="n">
        <f aca="false">H36+J36</f>
        <v>12</v>
      </c>
      <c r="N36" s="22" t="n">
        <f aca="false">K36+M36+2</f>
        <v>24</v>
      </c>
      <c r="O36" s="21" t="n">
        <v>1</v>
      </c>
    </row>
    <row r="37" customFormat="false" ht="15" hidden="false" customHeight="false" outlineLevel="0" collapsed="false">
      <c r="A37" s="19" t="s">
        <v>167</v>
      </c>
      <c r="B37" s="19" t="s">
        <v>152</v>
      </c>
      <c r="C37" s="19" t="s">
        <v>130</v>
      </c>
      <c r="D37" s="20" t="s">
        <v>128</v>
      </c>
      <c r="E37" s="21" t="n">
        <v>181</v>
      </c>
      <c r="F37" s="21" t="n">
        <v>35</v>
      </c>
      <c r="G37" s="21" t="n">
        <v>15</v>
      </c>
      <c r="H37" s="21" t="n">
        <v>4</v>
      </c>
      <c r="I37" s="21" t="n">
        <v>131</v>
      </c>
      <c r="J37" s="21" t="n">
        <v>8</v>
      </c>
      <c r="K37" s="21" t="n">
        <v>10</v>
      </c>
      <c r="L37" s="21" t="n">
        <v>24</v>
      </c>
      <c r="M37" s="22" t="n">
        <f aca="false">H37+J37</f>
        <v>12</v>
      </c>
      <c r="N37" s="22" t="n">
        <f aca="false">K37+M37+2</f>
        <v>24</v>
      </c>
      <c r="O37" s="21" t="n">
        <v>1</v>
      </c>
    </row>
    <row r="38" customFormat="false" ht="15" hidden="false" customHeight="false" outlineLevel="0" collapsed="false">
      <c r="A38" s="19" t="s">
        <v>168</v>
      </c>
      <c r="B38" s="19" t="s">
        <v>152</v>
      </c>
      <c r="C38" s="19" t="s">
        <v>130</v>
      </c>
      <c r="D38" s="20" t="s">
        <v>128</v>
      </c>
      <c r="E38" s="21" t="n">
        <v>177</v>
      </c>
      <c r="F38" s="21" t="n">
        <v>35</v>
      </c>
      <c r="G38" s="21" t="n">
        <v>11</v>
      </c>
      <c r="H38" s="21" t="n">
        <v>4</v>
      </c>
      <c r="I38" s="21" t="n">
        <v>131</v>
      </c>
      <c r="J38" s="21" t="n">
        <v>8</v>
      </c>
      <c r="K38" s="21" t="n">
        <v>10</v>
      </c>
      <c r="L38" s="21" t="n">
        <v>24</v>
      </c>
      <c r="M38" s="22" t="n">
        <f aca="false">H38+J38</f>
        <v>12</v>
      </c>
      <c r="N38" s="22" t="n">
        <f aca="false">K38+M38+2</f>
        <v>24</v>
      </c>
      <c r="O38" s="21" t="n">
        <v>1</v>
      </c>
    </row>
    <row r="39" customFormat="false" ht="15" hidden="false" customHeight="false" outlineLevel="0" collapsed="false">
      <c r="A39" s="19" t="s">
        <v>169</v>
      </c>
      <c r="B39" s="19" t="s">
        <v>152</v>
      </c>
      <c r="C39" s="19" t="s">
        <v>130</v>
      </c>
      <c r="D39" s="20" t="s">
        <v>128</v>
      </c>
      <c r="E39" s="21" t="n">
        <v>181</v>
      </c>
      <c r="F39" s="21" t="n">
        <v>35</v>
      </c>
      <c r="G39" s="21" t="n">
        <v>15</v>
      </c>
      <c r="H39" s="21" t="n">
        <v>4</v>
      </c>
      <c r="I39" s="21" t="n">
        <v>131</v>
      </c>
      <c r="J39" s="21" t="n">
        <v>8</v>
      </c>
      <c r="K39" s="21" t="n">
        <v>10</v>
      </c>
      <c r="L39" s="21" t="n">
        <v>24</v>
      </c>
      <c r="M39" s="22" t="n">
        <f aca="false">H39+J39</f>
        <v>12</v>
      </c>
      <c r="N39" s="22" t="n">
        <f aca="false">K39+M39+2</f>
        <v>24</v>
      </c>
      <c r="O39" s="21" t="n">
        <v>1</v>
      </c>
    </row>
    <row r="40" customFormat="false" ht="15" hidden="false" customHeight="false" outlineLevel="0" collapsed="false">
      <c r="A40" s="19" t="s">
        <v>170</v>
      </c>
      <c r="B40" s="19" t="s">
        <v>152</v>
      </c>
      <c r="C40" s="19" t="s">
        <v>130</v>
      </c>
      <c r="D40" s="20" t="s">
        <v>128</v>
      </c>
      <c r="E40" s="21" t="n">
        <v>173</v>
      </c>
      <c r="F40" s="21" t="n">
        <v>35</v>
      </c>
      <c r="G40" s="21" t="n">
        <v>7</v>
      </c>
      <c r="H40" s="21" t="n">
        <v>4</v>
      </c>
      <c r="I40" s="21" t="n">
        <v>131</v>
      </c>
      <c r="J40" s="21" t="n">
        <v>8</v>
      </c>
      <c r="K40" s="21" t="n">
        <v>10</v>
      </c>
      <c r="L40" s="21" t="n">
        <v>24</v>
      </c>
      <c r="M40" s="22" t="n">
        <f aca="false">H40+J40</f>
        <v>12</v>
      </c>
      <c r="N40" s="22" t="n">
        <f aca="false">K40+M40+2</f>
        <v>24</v>
      </c>
      <c r="O40" s="21" t="n">
        <v>1</v>
      </c>
    </row>
    <row r="41" customFormat="false" ht="15" hidden="false" customHeight="false" outlineLevel="0" collapsed="false">
      <c r="A41" s="19" t="s">
        <v>171</v>
      </c>
      <c r="B41" s="19" t="s">
        <v>152</v>
      </c>
      <c r="C41" s="19" t="s">
        <v>127</v>
      </c>
      <c r="D41" s="20" t="s">
        <v>128</v>
      </c>
      <c r="E41" s="21" t="n">
        <v>181</v>
      </c>
      <c r="F41" s="21" t="n">
        <v>35</v>
      </c>
      <c r="G41" s="21" t="n">
        <v>15</v>
      </c>
      <c r="H41" s="21" t="n">
        <v>4</v>
      </c>
      <c r="I41" s="21" t="n">
        <v>131</v>
      </c>
      <c r="J41" s="21" t="n">
        <v>8</v>
      </c>
      <c r="K41" s="21" t="n">
        <v>10</v>
      </c>
      <c r="L41" s="21" t="n">
        <v>24</v>
      </c>
      <c r="M41" s="22" t="n">
        <f aca="false">H41+J41</f>
        <v>12</v>
      </c>
      <c r="N41" s="22" t="n">
        <f aca="false">K41+M41+2</f>
        <v>24</v>
      </c>
      <c r="O41" s="21" t="n">
        <v>1</v>
      </c>
    </row>
    <row r="43" customFormat="false" ht="15" hidden="false" customHeight="false" outlineLevel="0" collapsed="false">
      <c r="A43" s="23" t="s">
        <v>172</v>
      </c>
      <c r="D43" s="24" t="n">
        <f aca="false">COUNTA(A2:A41)</f>
        <v>40</v>
      </c>
      <c r="E43" s="25" t="n">
        <f aca="false">SUM(E2:E41)</f>
        <v>7981</v>
      </c>
      <c r="F43" s="25" t="n">
        <f aca="false">SUM(F2:F41)</f>
        <v>1280</v>
      </c>
      <c r="G43" s="25" t="n">
        <f aca="false">SUM(G2:G41)</f>
        <v>612</v>
      </c>
      <c r="H43" s="25" t="n">
        <f aca="false">SUM(H2:H41)</f>
        <v>160</v>
      </c>
      <c r="I43" s="25" t="n">
        <f aca="false">SUM(I2:I41)</f>
        <v>6089</v>
      </c>
      <c r="J43" s="25" t="n">
        <f aca="false">SUM(J2:J41)</f>
        <v>325</v>
      </c>
      <c r="K43" s="25" t="n">
        <f aca="false">SUM(K2:K41)</f>
        <v>400</v>
      </c>
      <c r="L43" s="25" t="n">
        <f aca="false">SUM(L2:L41)</f>
        <v>988</v>
      </c>
      <c r="M43" s="25" t="n">
        <f aca="false">SUM(M2:M41)</f>
        <v>485</v>
      </c>
      <c r="N43" s="25" t="n">
        <f aca="false">SUM(N2:N41)</f>
        <v>965</v>
      </c>
      <c r="O43" s="25" t="n">
        <f aca="false">SUM(O2:O41)</f>
        <v>40</v>
      </c>
    </row>
    <row r="44" customFormat="false" ht="15" hidden="false" customHeight="false" outlineLevel="0" collapsed="false">
      <c r="A44" s="23" t="s">
        <v>173</v>
      </c>
      <c r="D44" s="24" t="n">
        <f aca="false">COUNTIF(D2:D41,"S")</f>
        <v>2</v>
      </c>
      <c r="E44" s="25" t="n">
        <f aca="false">SUMIF($D$2:$D$41,"S",E2:E41)</f>
        <v>390</v>
      </c>
      <c r="F44" s="25" t="n">
        <f aca="false">SUMIF($D$2:$D$41,"S",F2:F41)</f>
        <v>64</v>
      </c>
      <c r="G44" s="25" t="n">
        <f aca="false">SUMIF($D$2:$D$41,"S",G2:G41)</f>
        <v>35</v>
      </c>
      <c r="H44" s="25" t="n">
        <f aca="false">SUMIF($D$2:$D$41,"S",H2:H41)</f>
        <v>8</v>
      </c>
      <c r="I44" s="25" t="n">
        <f aca="false">SUMIF($D$2:$D$41,"S",I2:I41)</f>
        <v>291</v>
      </c>
      <c r="J44" s="25" t="n">
        <f aca="false">SUMIF($D$2:$D$41,"S",J2:J41)</f>
        <v>16</v>
      </c>
      <c r="K44" s="25" t="n">
        <f aca="false">SUMIF($D$2:$D$41,"S",K2:K41)</f>
        <v>20</v>
      </c>
      <c r="L44" s="25" t="n">
        <f aca="false">SUMIF($D$2:$D$41,"S",L2:L41)</f>
        <v>48</v>
      </c>
      <c r="M44" s="25" t="n">
        <f aca="false">SUMIF($D$2:$D$41,"S",M2:M41)</f>
        <v>24</v>
      </c>
      <c r="N44" s="25" t="n">
        <f aca="false">SUMIF($D$2:$D$41,"S",N2:N41)</f>
        <v>48</v>
      </c>
      <c r="O44" s="25" t="n">
        <f aca="false">SUMIF($D$2:$D$41,"S",O2:O41)</f>
        <v>2</v>
      </c>
    </row>
    <row r="46" customFormat="false" ht="15" hidden="false" customHeight="false" outlineLevel="0" collapsed="false">
      <c r="A46" s="6" t="s">
        <v>174</v>
      </c>
    </row>
    <row r="47" customFormat="false" ht="15" hidden="false" customHeight="false" outlineLevel="0" collapsed="false">
      <c r="A47" s="6" t="s">
        <v>175</v>
      </c>
    </row>
  </sheetData>
  <dataValidations count="1">
    <dataValidation allowBlank="false" errorStyle="stop" operator="between" showDropDown="false" showErrorMessage="false" showInputMessage="false" sqref="D2:D41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0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7" t="s">
        <v>176</v>
      </c>
      <c r="B1" s="7" t="s">
        <v>177</v>
      </c>
      <c r="C1" s="7" t="s">
        <v>53</v>
      </c>
      <c r="D1" s="7" t="s">
        <v>178</v>
      </c>
      <c r="E1" s="7" t="s">
        <v>179</v>
      </c>
      <c r="F1" s="7" t="s">
        <v>180</v>
      </c>
      <c r="G1" s="7" t="s">
        <v>181</v>
      </c>
    </row>
    <row r="2" customFormat="false" ht="23.85" hidden="false" customHeight="false" outlineLevel="0" collapsed="false">
      <c r="A2" s="13" t="s">
        <v>182</v>
      </c>
      <c r="B2" s="9" t="s">
        <v>183</v>
      </c>
      <c r="C2" s="13" t="s">
        <v>101</v>
      </c>
      <c r="D2" s="26" t="n">
        <v>9.98</v>
      </c>
      <c r="E2" s="13"/>
      <c r="F2" s="9" t="s">
        <v>184</v>
      </c>
      <c r="G2" s="13" t="s">
        <v>185</v>
      </c>
    </row>
    <row r="3" customFormat="false" ht="15" hidden="false" customHeight="false" outlineLevel="0" collapsed="false">
      <c r="A3" s="13" t="s">
        <v>186</v>
      </c>
      <c r="B3" s="9" t="s">
        <v>187</v>
      </c>
      <c r="C3" s="13" t="s">
        <v>101</v>
      </c>
      <c r="D3" s="26" t="n">
        <v>20.17</v>
      </c>
      <c r="E3" s="13"/>
      <c r="F3" s="9" t="s">
        <v>188</v>
      </c>
      <c r="G3" s="13" t="s">
        <v>185</v>
      </c>
    </row>
    <row r="4" customFormat="false" ht="15" hidden="false" customHeight="false" outlineLevel="0" collapsed="false">
      <c r="A4" s="13" t="s">
        <v>189</v>
      </c>
      <c r="B4" s="9" t="s">
        <v>190</v>
      </c>
      <c r="C4" s="13" t="s">
        <v>101</v>
      </c>
      <c r="D4" s="26" t="n">
        <v>39.9</v>
      </c>
      <c r="E4" s="13"/>
      <c r="F4" s="9" t="s">
        <v>191</v>
      </c>
      <c r="G4" s="13" t="s">
        <v>185</v>
      </c>
    </row>
    <row r="5" customFormat="false" ht="15" hidden="false" customHeight="false" outlineLevel="0" collapsed="false">
      <c r="A5" s="13" t="s">
        <v>192</v>
      </c>
      <c r="B5" s="9" t="s">
        <v>193</v>
      </c>
      <c r="C5" s="13" t="s">
        <v>101</v>
      </c>
      <c r="D5" s="26" t="n">
        <v>8.9</v>
      </c>
      <c r="E5" s="13"/>
      <c r="F5" s="9" t="s">
        <v>194</v>
      </c>
      <c r="G5" s="13" t="s">
        <v>185</v>
      </c>
    </row>
    <row r="6" customFormat="false" ht="23.85" hidden="false" customHeight="false" outlineLevel="0" collapsed="false">
      <c r="A6" s="13" t="s">
        <v>195</v>
      </c>
      <c r="B6" s="9" t="s">
        <v>196</v>
      </c>
      <c r="C6" s="13" t="s">
        <v>101</v>
      </c>
      <c r="D6" s="27" t="n">
        <f aca="false">E6*Premissas!$B$2*Premissas!$B$3</f>
        <v>119.730875</v>
      </c>
      <c r="E6" s="28" t="n">
        <v>12.5</v>
      </c>
      <c r="F6" s="9" t="s">
        <v>197</v>
      </c>
      <c r="G6" s="13" t="s">
        <v>198</v>
      </c>
    </row>
    <row r="7" customFormat="false" ht="15" hidden="false" customHeight="false" outlineLevel="0" collapsed="false">
      <c r="A7" s="13" t="s">
        <v>199</v>
      </c>
      <c r="B7" s="9" t="s">
        <v>200</v>
      </c>
      <c r="C7" s="13" t="s">
        <v>101</v>
      </c>
      <c r="D7" s="26" t="n">
        <v>189.98</v>
      </c>
      <c r="E7" s="13"/>
      <c r="F7" s="9" t="s">
        <v>201</v>
      </c>
      <c r="G7" s="13" t="s">
        <v>185</v>
      </c>
    </row>
    <row r="8" customFormat="false" ht="15" hidden="false" customHeight="false" outlineLevel="0" collapsed="false">
      <c r="A8" s="13" t="s">
        <v>202</v>
      </c>
      <c r="B8" s="9" t="s">
        <v>203</v>
      </c>
      <c r="C8" s="13" t="s">
        <v>101</v>
      </c>
      <c r="D8" s="29" t="n">
        <v>185</v>
      </c>
      <c r="E8" s="13"/>
      <c r="F8" s="9" t="s">
        <v>204</v>
      </c>
      <c r="G8" s="30" t="s">
        <v>78</v>
      </c>
    </row>
    <row r="9" customFormat="false" ht="15" hidden="false" customHeight="false" outlineLevel="0" collapsed="false">
      <c r="A9" s="13" t="s">
        <v>205</v>
      </c>
      <c r="B9" s="9" t="s">
        <v>206</v>
      </c>
      <c r="C9" s="13" t="s">
        <v>101</v>
      </c>
      <c r="D9" s="29" t="n">
        <v>8</v>
      </c>
      <c r="E9" s="13"/>
      <c r="F9" s="9" t="s">
        <v>207</v>
      </c>
      <c r="G9" s="30" t="s">
        <v>78</v>
      </c>
    </row>
    <row r="10" customFormat="false" ht="15" hidden="false" customHeight="false" outlineLevel="0" collapsed="false">
      <c r="A10" s="13" t="s">
        <v>208</v>
      </c>
      <c r="B10" s="9" t="s">
        <v>209</v>
      </c>
      <c r="C10" s="13" t="s">
        <v>101</v>
      </c>
      <c r="D10" s="29" t="n">
        <v>7</v>
      </c>
      <c r="E10" s="13"/>
      <c r="F10" s="9" t="s">
        <v>207</v>
      </c>
      <c r="G10" s="30" t="s">
        <v>78</v>
      </c>
    </row>
    <row r="11" customFormat="false" ht="15" hidden="false" customHeight="false" outlineLevel="0" collapsed="false">
      <c r="A11" s="13" t="s">
        <v>210</v>
      </c>
      <c r="B11" s="9" t="s">
        <v>211</v>
      </c>
      <c r="C11" s="13" t="s">
        <v>101</v>
      </c>
      <c r="D11" s="29" t="n">
        <v>2.5</v>
      </c>
      <c r="E11" s="13"/>
      <c r="F11" s="9" t="s">
        <v>109</v>
      </c>
      <c r="G11" s="30" t="s">
        <v>78</v>
      </c>
    </row>
    <row r="12" customFormat="false" ht="15" hidden="false" customHeight="false" outlineLevel="0" collapsed="false">
      <c r="A12" s="13" t="s">
        <v>212</v>
      </c>
      <c r="B12" s="9" t="s">
        <v>213</v>
      </c>
      <c r="C12" s="13" t="s">
        <v>101</v>
      </c>
      <c r="D12" s="29" t="n">
        <v>0.8</v>
      </c>
      <c r="E12" s="13"/>
      <c r="F12" s="9" t="s">
        <v>214</v>
      </c>
      <c r="G12" s="30" t="s">
        <v>78</v>
      </c>
    </row>
    <row r="13" customFormat="false" ht="15" hidden="false" customHeight="false" outlineLevel="0" collapsed="false">
      <c r="A13" s="13" t="s">
        <v>215</v>
      </c>
      <c r="B13" s="9" t="s">
        <v>216</v>
      </c>
      <c r="C13" s="13" t="s">
        <v>88</v>
      </c>
      <c r="D13" s="27" t="n">
        <f aca="false">1229.41/305</f>
        <v>4.03085245901639</v>
      </c>
      <c r="E13" s="13"/>
      <c r="F13" s="9" t="s">
        <v>217</v>
      </c>
      <c r="G13" s="13" t="s">
        <v>185</v>
      </c>
    </row>
    <row r="14" customFormat="false" ht="23.85" hidden="false" customHeight="false" outlineLevel="0" collapsed="false">
      <c r="A14" s="13" t="s">
        <v>218</v>
      </c>
      <c r="B14" s="9" t="s">
        <v>219</v>
      </c>
      <c r="C14" s="13" t="s">
        <v>101</v>
      </c>
      <c r="D14" s="29" t="n">
        <v>5</v>
      </c>
      <c r="E14" s="13"/>
      <c r="F14" s="9" t="s">
        <v>78</v>
      </c>
      <c r="G14" s="30" t="s">
        <v>78</v>
      </c>
    </row>
    <row r="15" customFormat="false" ht="15" hidden="false" customHeight="false" outlineLevel="0" collapsed="false">
      <c r="A15" s="13" t="s">
        <v>220</v>
      </c>
      <c r="B15" s="9" t="s">
        <v>221</v>
      </c>
      <c r="C15" s="13" t="s">
        <v>101</v>
      </c>
      <c r="D15" s="29" t="n">
        <v>15</v>
      </c>
      <c r="E15" s="13"/>
      <c r="F15" s="9" t="s">
        <v>78</v>
      </c>
      <c r="G15" s="30" t="s">
        <v>78</v>
      </c>
    </row>
    <row r="16" customFormat="false" ht="15" hidden="false" customHeight="false" outlineLevel="0" collapsed="false">
      <c r="A16" s="13" t="s">
        <v>222</v>
      </c>
      <c r="B16" s="9" t="s">
        <v>223</v>
      </c>
      <c r="C16" s="13" t="s">
        <v>101</v>
      </c>
      <c r="D16" s="29" t="n">
        <v>10</v>
      </c>
      <c r="E16" s="13"/>
      <c r="F16" s="9" t="s">
        <v>78</v>
      </c>
      <c r="G16" s="30" t="s">
        <v>78</v>
      </c>
    </row>
    <row r="17" customFormat="false" ht="23.85" hidden="false" customHeight="false" outlineLevel="0" collapsed="false">
      <c r="A17" s="13" t="s">
        <v>224</v>
      </c>
      <c r="B17" s="9" t="s">
        <v>225</v>
      </c>
      <c r="C17" s="13" t="s">
        <v>101</v>
      </c>
      <c r="D17" s="29" t="n">
        <v>90</v>
      </c>
      <c r="E17" s="13"/>
      <c r="F17" s="9" t="s">
        <v>226</v>
      </c>
      <c r="G17" s="30" t="s">
        <v>78</v>
      </c>
    </row>
    <row r="18" customFormat="false" ht="15" hidden="false" customHeight="false" outlineLevel="0" collapsed="false">
      <c r="A18" s="13" t="s">
        <v>227</v>
      </c>
      <c r="B18" s="9" t="s">
        <v>228</v>
      </c>
      <c r="C18" s="13" t="s">
        <v>229</v>
      </c>
      <c r="D18" s="29" t="n">
        <v>45</v>
      </c>
      <c r="E18" s="13"/>
      <c r="F18" s="9" t="s">
        <v>109</v>
      </c>
      <c r="G18" s="30" t="s">
        <v>78</v>
      </c>
    </row>
    <row r="19" customFormat="false" ht="15" hidden="false" customHeight="false" outlineLevel="0" collapsed="false">
      <c r="A19" s="13" t="s">
        <v>230</v>
      </c>
      <c r="B19" s="9" t="s">
        <v>231</v>
      </c>
      <c r="C19" s="13" t="s">
        <v>88</v>
      </c>
      <c r="D19" s="29" t="n">
        <v>9</v>
      </c>
      <c r="E19" s="13"/>
      <c r="F19" s="9" t="s">
        <v>232</v>
      </c>
      <c r="G19" s="30" t="s">
        <v>78</v>
      </c>
    </row>
    <row r="20" customFormat="false" ht="23.85" hidden="false" customHeight="false" outlineLevel="0" collapsed="false">
      <c r="A20" s="13" t="s">
        <v>233</v>
      </c>
      <c r="B20" s="9" t="s">
        <v>234</v>
      </c>
      <c r="C20" s="13" t="s">
        <v>229</v>
      </c>
      <c r="D20" s="29" t="n">
        <v>40</v>
      </c>
      <c r="E20" s="13"/>
      <c r="F20" s="9" t="s">
        <v>78</v>
      </c>
      <c r="G20" s="30" t="s">
        <v>78</v>
      </c>
    </row>
    <row r="21" customFormat="false" ht="15" hidden="false" customHeight="false" outlineLevel="0" collapsed="false">
      <c r="A21" s="13" t="s">
        <v>235</v>
      </c>
      <c r="B21" s="9" t="s">
        <v>236</v>
      </c>
      <c r="C21" s="13" t="s">
        <v>101</v>
      </c>
      <c r="D21" s="26" t="n">
        <v>769.32</v>
      </c>
      <c r="E21" s="13"/>
      <c r="F21" s="9" t="s">
        <v>237</v>
      </c>
      <c r="G21" s="13" t="s">
        <v>185</v>
      </c>
    </row>
    <row r="22" customFormat="false" ht="23.85" hidden="false" customHeight="false" outlineLevel="0" collapsed="false">
      <c r="A22" s="13" t="s">
        <v>238</v>
      </c>
      <c r="B22" s="9" t="s">
        <v>239</v>
      </c>
      <c r="C22" s="13" t="s">
        <v>240</v>
      </c>
      <c r="D22" s="29" t="n">
        <v>0.9</v>
      </c>
      <c r="E22" s="13"/>
      <c r="F22" s="9" t="s">
        <v>109</v>
      </c>
      <c r="G22" s="30" t="s">
        <v>78</v>
      </c>
    </row>
    <row r="23" customFormat="false" ht="15" hidden="false" customHeight="false" outlineLevel="0" collapsed="false">
      <c r="A23" s="13" t="s">
        <v>241</v>
      </c>
      <c r="B23" s="9" t="s">
        <v>242</v>
      </c>
      <c r="C23" s="13" t="s">
        <v>101</v>
      </c>
      <c r="D23" s="26" t="n">
        <v>2.37</v>
      </c>
      <c r="E23" s="13"/>
      <c r="F23" s="9" t="s">
        <v>243</v>
      </c>
      <c r="G23" s="13" t="s">
        <v>185</v>
      </c>
    </row>
    <row r="24" customFormat="false" ht="15" hidden="false" customHeight="false" outlineLevel="0" collapsed="false">
      <c r="A24" s="13" t="s">
        <v>244</v>
      </c>
      <c r="B24" s="9" t="s">
        <v>245</v>
      </c>
      <c r="C24" s="13" t="s">
        <v>101</v>
      </c>
      <c r="D24" s="29" t="n">
        <v>0.5</v>
      </c>
      <c r="E24" s="13"/>
      <c r="F24" s="9" t="s">
        <v>78</v>
      </c>
      <c r="G24" s="30" t="s">
        <v>78</v>
      </c>
    </row>
    <row r="25" customFormat="false" ht="15" hidden="false" customHeight="false" outlineLevel="0" collapsed="false">
      <c r="A25" s="13" t="s">
        <v>246</v>
      </c>
      <c r="B25" s="9" t="s">
        <v>247</v>
      </c>
      <c r="C25" s="13" t="s">
        <v>101</v>
      </c>
      <c r="D25" s="26" t="n">
        <v>29.89</v>
      </c>
      <c r="E25" s="13"/>
      <c r="F25" s="9" t="s">
        <v>248</v>
      </c>
      <c r="G25" s="13" t="s">
        <v>185</v>
      </c>
    </row>
    <row r="26" customFormat="false" ht="15" hidden="false" customHeight="false" outlineLevel="0" collapsed="false">
      <c r="A26" s="13" t="s">
        <v>249</v>
      </c>
      <c r="B26" s="9" t="s">
        <v>250</v>
      </c>
      <c r="C26" s="13" t="s">
        <v>101</v>
      </c>
      <c r="D26" s="26" t="n">
        <v>42.65</v>
      </c>
      <c r="E26" s="13"/>
      <c r="F26" s="9" t="s">
        <v>251</v>
      </c>
      <c r="G26" s="13" t="s">
        <v>185</v>
      </c>
    </row>
    <row r="27" customFormat="false" ht="23.85" hidden="false" customHeight="false" outlineLevel="0" collapsed="false">
      <c r="A27" s="13" t="s">
        <v>252</v>
      </c>
      <c r="B27" s="9" t="s">
        <v>253</v>
      </c>
      <c r="C27" s="13" t="s">
        <v>229</v>
      </c>
      <c r="D27" s="29" t="n">
        <v>35</v>
      </c>
      <c r="E27" s="13"/>
      <c r="F27" s="9" t="s">
        <v>109</v>
      </c>
      <c r="G27" s="30" t="s">
        <v>78</v>
      </c>
    </row>
    <row r="28" customFormat="false" ht="15" hidden="false" customHeight="false" outlineLevel="0" collapsed="false">
      <c r="A28" s="13" t="s">
        <v>254</v>
      </c>
      <c r="B28" s="9" t="s">
        <v>255</v>
      </c>
      <c r="C28" s="13" t="s">
        <v>101</v>
      </c>
      <c r="D28" s="29" t="n">
        <v>20</v>
      </c>
      <c r="E28" s="13"/>
      <c r="F28" s="9" t="s">
        <v>78</v>
      </c>
      <c r="G28" s="30" t="s">
        <v>78</v>
      </c>
    </row>
    <row r="29" customFormat="false" ht="15" hidden="false" customHeight="false" outlineLevel="0" collapsed="false">
      <c r="A29" s="13" t="s">
        <v>256</v>
      </c>
      <c r="B29" s="9" t="s">
        <v>257</v>
      </c>
      <c r="C29" s="13" t="s">
        <v>101</v>
      </c>
      <c r="D29" s="29" t="n">
        <v>35</v>
      </c>
      <c r="E29" s="13"/>
      <c r="F29" s="9" t="s">
        <v>109</v>
      </c>
      <c r="G29" s="30" t="s">
        <v>78</v>
      </c>
    </row>
    <row r="30" customFormat="false" ht="15" hidden="false" customHeight="false" outlineLevel="0" collapsed="false">
      <c r="A30" s="13" t="s">
        <v>258</v>
      </c>
      <c r="B30" s="9" t="s">
        <v>259</v>
      </c>
      <c r="C30" s="13" t="s">
        <v>101</v>
      </c>
      <c r="D30" s="27" t="n">
        <f aca="false">E30*Premissas!$B$2*Premissas!$B$3</f>
        <v>287.3541</v>
      </c>
      <c r="E30" s="28" t="n">
        <v>30</v>
      </c>
      <c r="F30" s="9" t="s">
        <v>260</v>
      </c>
      <c r="G30" s="13" t="s">
        <v>198</v>
      </c>
    </row>
    <row r="31" customFormat="false" ht="23.85" hidden="false" customHeight="false" outlineLevel="0" collapsed="false">
      <c r="A31" s="13" t="s">
        <v>261</v>
      </c>
      <c r="B31" s="9" t="s">
        <v>262</v>
      </c>
      <c r="C31" s="13" t="s">
        <v>101</v>
      </c>
      <c r="D31" s="27" t="n">
        <f aca="false">E31*Premissas!$B$2*Premissas!$B$3</f>
        <v>622.60055</v>
      </c>
      <c r="E31" s="31" t="n">
        <v>65</v>
      </c>
      <c r="F31" s="9" t="s">
        <v>263</v>
      </c>
      <c r="G31" s="30" t="s">
        <v>78</v>
      </c>
    </row>
    <row r="32" customFormat="false" ht="15" hidden="false" customHeight="false" outlineLevel="0" collapsed="false">
      <c r="A32" s="13" t="s">
        <v>264</v>
      </c>
      <c r="B32" s="9" t="s">
        <v>265</v>
      </c>
      <c r="C32" s="13" t="s">
        <v>101</v>
      </c>
      <c r="D32" s="27" t="n">
        <f aca="false">E32*Premissas!$B$2*Premissas!$B$3</f>
        <v>2107.2634</v>
      </c>
      <c r="E32" s="31" t="n">
        <v>220</v>
      </c>
      <c r="F32" s="9" t="s">
        <v>266</v>
      </c>
      <c r="G32" s="30" t="s">
        <v>78</v>
      </c>
    </row>
    <row r="33" customFormat="false" ht="23.85" hidden="false" customHeight="false" outlineLevel="0" collapsed="false">
      <c r="A33" s="13" t="s">
        <v>267</v>
      </c>
      <c r="B33" s="9" t="s">
        <v>268</v>
      </c>
      <c r="C33" s="13" t="s">
        <v>101</v>
      </c>
      <c r="D33" s="27" t="n">
        <f aca="false">E33*Premissas!$B$2*Premissas!$B$3</f>
        <v>86.20623</v>
      </c>
      <c r="E33" s="31" t="n">
        <v>9</v>
      </c>
      <c r="F33" s="9" t="s">
        <v>269</v>
      </c>
      <c r="G33" s="30" t="s">
        <v>78</v>
      </c>
    </row>
    <row r="34" customFormat="false" ht="15" hidden="false" customHeight="false" outlineLevel="0" collapsed="false">
      <c r="A34" s="13" t="s">
        <v>270</v>
      </c>
      <c r="B34" s="9" t="s">
        <v>271</v>
      </c>
      <c r="C34" s="13" t="s">
        <v>101</v>
      </c>
      <c r="D34" s="27" t="n">
        <f aca="false">E34*Premissas!$B$2*Premissas!$B$3</f>
        <v>210.72634</v>
      </c>
      <c r="E34" s="31" t="n">
        <v>22</v>
      </c>
      <c r="F34" s="9" t="s">
        <v>272</v>
      </c>
      <c r="G34" s="30" t="s">
        <v>78</v>
      </c>
    </row>
    <row r="35" customFormat="false" ht="23.85" hidden="false" customHeight="false" outlineLevel="0" collapsed="false">
      <c r="A35" s="13" t="s">
        <v>273</v>
      </c>
      <c r="B35" s="9" t="s">
        <v>274</v>
      </c>
      <c r="C35" s="13" t="s">
        <v>101</v>
      </c>
      <c r="D35" s="27" t="n">
        <f aca="false">E35*Premissas!$B$2*Premissas!$B$3</f>
        <v>335.24645</v>
      </c>
      <c r="E35" s="31" t="n">
        <v>35</v>
      </c>
      <c r="F35" s="9" t="s">
        <v>272</v>
      </c>
      <c r="G35" s="30" t="s">
        <v>78</v>
      </c>
    </row>
    <row r="36" customFormat="false" ht="15" hidden="false" customHeight="false" outlineLevel="0" collapsed="false">
      <c r="A36" s="13" t="s">
        <v>275</v>
      </c>
      <c r="B36" s="9" t="s">
        <v>276</v>
      </c>
      <c r="C36" s="13" t="s">
        <v>277</v>
      </c>
      <c r="D36" s="29" t="n">
        <v>15000</v>
      </c>
      <c r="E36" s="13"/>
      <c r="F36" s="9" t="s">
        <v>278</v>
      </c>
      <c r="G36" s="30" t="s">
        <v>78</v>
      </c>
    </row>
    <row r="37" customFormat="false" ht="23.85" hidden="false" customHeight="false" outlineLevel="0" collapsed="false">
      <c r="A37" s="13" t="s">
        <v>279</v>
      </c>
      <c r="B37" s="9" t="s">
        <v>280</v>
      </c>
      <c r="C37" s="13" t="s">
        <v>101</v>
      </c>
      <c r="D37" s="27" t="n">
        <f aca="false">E37*Premissas!$B$2*Premissas!$B$3</f>
        <v>9549.73459</v>
      </c>
      <c r="E37" s="28" t="n">
        <v>997</v>
      </c>
      <c r="F37" s="9" t="s">
        <v>281</v>
      </c>
      <c r="G37" s="13" t="s">
        <v>198</v>
      </c>
    </row>
    <row r="38" customFormat="false" ht="23.85" hidden="false" customHeight="false" outlineLevel="0" collapsed="false">
      <c r="A38" s="13" t="s">
        <v>282</v>
      </c>
      <c r="B38" s="9" t="s">
        <v>283</v>
      </c>
      <c r="C38" s="13" t="s">
        <v>101</v>
      </c>
      <c r="D38" s="29" t="n">
        <v>350</v>
      </c>
      <c r="E38" s="13"/>
      <c r="F38" s="9" t="s">
        <v>284</v>
      </c>
      <c r="G38" s="30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58"/>
    <col collapsed="false" customWidth="true" hidden="false" outlineLevel="0" max="4" min="4" style="0" width="14"/>
    <col collapsed="false" customWidth="true" hidden="false" outlineLevel="0" max="6" min="5" style="0" width="15"/>
  </cols>
  <sheetData>
    <row r="1" customFormat="false" ht="31.5" hidden="false" customHeight="true" outlineLevel="0" collapsed="false">
      <c r="A1" s="7" t="s">
        <v>285</v>
      </c>
      <c r="B1" s="7" t="s">
        <v>176</v>
      </c>
      <c r="C1" s="7" t="s">
        <v>177</v>
      </c>
      <c r="D1" s="7" t="s">
        <v>286</v>
      </c>
      <c r="E1" s="7" t="s">
        <v>287</v>
      </c>
      <c r="F1" s="7" t="s">
        <v>288</v>
      </c>
    </row>
    <row r="2" customFormat="false" ht="15" hidden="false" customHeight="false" outlineLevel="0" collapsed="false">
      <c r="A2" s="13" t="s">
        <v>289</v>
      </c>
      <c r="B2" s="13" t="s">
        <v>182</v>
      </c>
      <c r="C2" s="32" t="str">
        <f aca="false">INDEX(Preços!$B:$B,MATCH(B2,Preços!$A:$A,0))</f>
        <v>Display 7 segmentos 4 dígitos TM1637 (usa 3 dígitos, quantidade)</v>
      </c>
      <c r="D2" s="14" t="n">
        <v>1</v>
      </c>
      <c r="E2" s="33" t="n">
        <f aca="false">INDEX(Preços!$D:$D,MATCH(B2,Preços!$A:$A,0))</f>
        <v>9.98</v>
      </c>
      <c r="F2" s="27" t="n">
        <f aca="false">D2*E2</f>
        <v>9.98</v>
      </c>
    </row>
    <row r="3" customFormat="false" ht="15" hidden="false" customHeight="false" outlineLevel="0" collapsed="false">
      <c r="A3" s="13" t="s">
        <v>289</v>
      </c>
      <c r="B3" s="13" t="s">
        <v>208</v>
      </c>
      <c r="C3" s="32" t="str">
        <f aca="false">INDEX(Preços!$B:$B,MATCH(B3,Preços!$A:$A,0))</f>
        <v>Botão de confirmação com LED (16 mm, momentâneo)</v>
      </c>
      <c r="D3" s="14" t="n">
        <v>1</v>
      </c>
      <c r="E3" s="33" t="n">
        <f aca="false">INDEX(Preços!$D:$D,MATCH(B3,Preços!$A:$A,0))</f>
        <v>7</v>
      </c>
      <c r="F3" s="27" t="n">
        <f aca="false">D3*E3</f>
        <v>7</v>
      </c>
    </row>
    <row r="4" customFormat="false" ht="15" hidden="false" customHeight="false" outlineLevel="0" collapsed="false">
      <c r="A4" s="13" t="s">
        <v>289</v>
      </c>
      <c r="B4" s="13" t="s">
        <v>218</v>
      </c>
      <c r="C4" s="32" t="str">
        <f aca="false">INDEX(Preços!$B:$B,MATCH(B4,Preços!$A:$A,0))</f>
        <v>Carcaça do Módulo Q (impressão 3D PETG ou caixa plástica pequena)</v>
      </c>
      <c r="D4" s="14" t="n">
        <v>1</v>
      </c>
      <c r="E4" s="33" t="n">
        <f aca="false">INDEX(Preços!$D:$D,MATCH(B4,Preços!$A:$A,0))</f>
        <v>5</v>
      </c>
      <c r="F4" s="27" t="n">
        <f aca="false">D4*E4</f>
        <v>5</v>
      </c>
    </row>
    <row r="5" customFormat="false" ht="15" hidden="false" customHeight="false" outlineLevel="0" collapsed="false">
      <c r="A5" s="13" t="s">
        <v>289</v>
      </c>
      <c r="B5" s="13" t="s">
        <v>210</v>
      </c>
      <c r="C5" s="32" t="str">
        <f aca="false">INDEX(Preços!$B:$B,MATCH(B5,Preços!$A:$A,0))</f>
        <v>Conector RJ45 fêmea para placa (jack)</v>
      </c>
      <c r="D5" s="14" t="n">
        <v>1</v>
      </c>
      <c r="E5" s="33" t="n">
        <f aca="false">INDEX(Preços!$D:$D,MATCH(B5,Preços!$A:$A,0))</f>
        <v>2.5</v>
      </c>
      <c r="F5" s="27" t="n">
        <f aca="false">D5*E5</f>
        <v>2.5</v>
      </c>
    </row>
    <row r="6" customFormat="false" ht="15" hidden="false" customHeight="false" outlineLevel="0" collapsed="false">
      <c r="A6" s="13" t="s">
        <v>289</v>
      </c>
      <c r="B6" s="13" t="s">
        <v>215</v>
      </c>
      <c r="C6" s="32" t="str">
        <f aca="false">INDEX(Preços!$B:$B,MATCH(B6,Preços!$A:$A,0))</f>
        <v>Cabo Cat5e (por metro)</v>
      </c>
      <c r="D6" s="14" t="n">
        <v>2</v>
      </c>
      <c r="E6" s="33" t="n">
        <f aca="false">INDEX(Preços!$D:$D,MATCH(B6,Preços!$A:$A,0))</f>
        <v>4.03085245901639</v>
      </c>
      <c r="F6" s="27" t="n">
        <f aca="false">D6*E6</f>
        <v>8.06170491803279</v>
      </c>
    </row>
    <row r="7" customFormat="false" ht="15" hidden="false" customHeight="false" outlineLevel="0" collapsed="false">
      <c r="A7" s="13" t="s">
        <v>289</v>
      </c>
      <c r="B7" s="13" t="s">
        <v>212</v>
      </c>
      <c r="C7" s="32" t="str">
        <f aca="false">INDEX(Preços!$B:$B,MATCH(B7,Preços!$A:$A,0))</f>
        <v>Plug RJ45 Cat5e (macho)</v>
      </c>
      <c r="D7" s="14" t="n">
        <v>2</v>
      </c>
      <c r="E7" s="33" t="n">
        <f aca="false">INDEX(Preços!$D:$D,MATCH(B7,Preços!$A:$A,0))</f>
        <v>0.8</v>
      </c>
      <c r="F7" s="27" t="n">
        <f aca="false">D7*E7</f>
        <v>1.6</v>
      </c>
    </row>
    <row r="8" customFormat="false" ht="15" hidden="false" customHeight="false" outlineLevel="0" collapsed="false">
      <c r="A8" s="34" t="s">
        <v>290</v>
      </c>
      <c r="B8" s="35"/>
      <c r="C8" s="35"/>
      <c r="D8" s="35"/>
      <c r="E8" s="35"/>
      <c r="F8" s="36" t="n">
        <f aca="false">SUM(F2:F7)</f>
        <v>34.1417049180328</v>
      </c>
    </row>
    <row r="10" customFormat="false" ht="15" hidden="false" customHeight="false" outlineLevel="0" collapsed="false">
      <c r="A10" s="13" t="s">
        <v>291</v>
      </c>
      <c r="B10" s="13" t="s">
        <v>189</v>
      </c>
      <c r="C10" s="32" t="str">
        <f aca="false">INDEX(Preços!$B:$B,MATCH(B10,Preços!$A:$A,0))</f>
        <v>Microcontrolador Raspberry Pi Pico (RP2040)</v>
      </c>
      <c r="D10" s="14" t="n">
        <v>1</v>
      </c>
      <c r="E10" s="33" t="n">
        <f aca="false">INDEX(Preços!$D:$D,MATCH(B10,Preços!$A:$A,0))</f>
        <v>39.9</v>
      </c>
      <c r="F10" s="27" t="n">
        <f aca="false">D10*E10</f>
        <v>39.9</v>
      </c>
    </row>
    <row r="11" customFormat="false" ht="15" hidden="false" customHeight="false" outlineLevel="0" collapsed="false">
      <c r="A11" s="13" t="s">
        <v>291</v>
      </c>
      <c r="B11" s="13" t="s">
        <v>192</v>
      </c>
      <c r="C11" s="32" t="str">
        <f aca="false">INDEX(Preços!$B:$B,MATCH(B11,Preços!$A:$A,0))</f>
        <v>Módulo transceptor RS-485 (MAX485)</v>
      </c>
      <c r="D11" s="14" t="n">
        <v>1</v>
      </c>
      <c r="E11" s="33" t="n">
        <f aca="false">INDEX(Preços!$D:$D,MATCH(B11,Preços!$A:$A,0))</f>
        <v>8.9</v>
      </c>
      <c r="F11" s="27" t="n">
        <f aca="false">D11*E11</f>
        <v>8.9</v>
      </c>
    </row>
    <row r="12" customFormat="false" ht="15" hidden="false" customHeight="false" outlineLevel="0" collapsed="false">
      <c r="A12" s="13" t="s">
        <v>291</v>
      </c>
      <c r="B12" s="13" t="s">
        <v>205</v>
      </c>
      <c r="C12" s="32" t="str">
        <f aca="false">INDEX(Preços!$B:$B,MATCH(B12,Preços!$A:$A,0))</f>
        <v>Regulador step-down 12 V → 5 V (mini, 3 A)</v>
      </c>
      <c r="D12" s="14" t="n">
        <v>1</v>
      </c>
      <c r="E12" s="33" t="n">
        <f aca="false">INDEX(Preços!$D:$D,MATCH(B12,Preços!$A:$A,0))</f>
        <v>8</v>
      </c>
      <c r="F12" s="27" t="n">
        <f aca="false">D12*E12</f>
        <v>8</v>
      </c>
    </row>
    <row r="13" customFormat="false" ht="15" hidden="false" customHeight="false" outlineLevel="0" collapsed="false">
      <c r="A13" s="13" t="s">
        <v>291</v>
      </c>
      <c r="B13" s="13" t="s">
        <v>222</v>
      </c>
      <c r="C13" s="32" t="str">
        <f aca="false">INDEX(Preços!$B:$B,MATCH(B13,Preços!$A:$A,0))</f>
        <v>Placa base universal + bornes (nó / módulo E+Q)</v>
      </c>
      <c r="D13" s="14" t="n">
        <v>1</v>
      </c>
      <c r="E13" s="33" t="n">
        <f aca="false">INDEX(Preços!$D:$D,MATCH(B13,Preços!$A:$A,0))</f>
        <v>10</v>
      </c>
      <c r="F13" s="27" t="n">
        <f aca="false">D13*E13</f>
        <v>10</v>
      </c>
    </row>
    <row r="14" customFormat="false" ht="15" hidden="false" customHeight="false" outlineLevel="0" collapsed="false">
      <c r="A14" s="13" t="s">
        <v>291</v>
      </c>
      <c r="B14" s="13" t="s">
        <v>210</v>
      </c>
      <c r="C14" s="32" t="str">
        <f aca="false">INDEX(Preços!$B:$B,MATCH(B14,Preços!$A:$A,0))</f>
        <v>Conector RJ45 fêmea para placa (jack)</v>
      </c>
      <c r="D14" s="14" t="n">
        <v>6</v>
      </c>
      <c r="E14" s="33" t="n">
        <f aca="false">INDEX(Preços!$D:$D,MATCH(B14,Preços!$A:$A,0))</f>
        <v>2.5</v>
      </c>
      <c r="F14" s="27" t="n">
        <f aca="false">D14*E14</f>
        <v>15</v>
      </c>
    </row>
    <row r="15" customFormat="false" ht="15" hidden="false" customHeight="false" outlineLevel="0" collapsed="false">
      <c r="A15" s="13" t="s">
        <v>291</v>
      </c>
      <c r="B15" s="13" t="s">
        <v>220</v>
      </c>
      <c r="C15" s="32" t="str">
        <f aca="false">INDEX(Preços!$B:$B,MATCH(B15,Preços!$A:$A,0))</f>
        <v>Carcaça do Módulo E+Q / Nó de coluna</v>
      </c>
      <c r="D15" s="14" t="n">
        <v>1</v>
      </c>
      <c r="E15" s="33" t="n">
        <f aca="false">INDEX(Preços!$D:$D,MATCH(B15,Preços!$A:$A,0))</f>
        <v>15</v>
      </c>
      <c r="F15" s="27" t="n">
        <f aca="false">D15*E15</f>
        <v>15</v>
      </c>
    </row>
    <row r="16" customFormat="false" ht="15" hidden="false" customHeight="false" outlineLevel="0" collapsed="false">
      <c r="A16" s="34" t="s">
        <v>292</v>
      </c>
      <c r="B16" s="35"/>
      <c r="C16" s="35"/>
      <c r="D16" s="35"/>
      <c r="E16" s="35"/>
      <c r="F16" s="36" t="n">
        <f aca="false">SUM(F10:F15)</f>
        <v>96.8</v>
      </c>
    </row>
    <row r="18" customFormat="false" ht="15" hidden="false" customHeight="false" outlineLevel="0" collapsed="false">
      <c r="A18" s="13" t="s">
        <v>293</v>
      </c>
      <c r="B18" s="13" t="s">
        <v>186</v>
      </c>
      <c r="C18" s="32" t="str">
        <f aca="false">INDEX(Preços!$B:$B,MATCH(B18,Preços!$A:$A,0))</f>
        <v>Display 7 segmentos 8 dígitos MAX7219 (endereço)</v>
      </c>
      <c r="D18" s="14" t="n">
        <v>1</v>
      </c>
      <c r="E18" s="33" t="n">
        <f aca="false">INDEX(Preços!$D:$D,MATCH(B18,Preços!$A:$A,0))</f>
        <v>20.17</v>
      </c>
      <c r="F18" s="27" t="n">
        <f aca="false">D18*E18</f>
        <v>20.17</v>
      </c>
    </row>
    <row r="19" customFormat="false" ht="15" hidden="false" customHeight="false" outlineLevel="0" collapsed="false">
      <c r="A19" s="13" t="s">
        <v>293</v>
      </c>
      <c r="B19" s="13" t="s">
        <v>182</v>
      </c>
      <c r="C19" s="32" t="str">
        <f aca="false">INDEX(Preços!$B:$B,MATCH(B19,Preços!$A:$A,0))</f>
        <v>Display 7 segmentos 4 dígitos TM1637 (usa 3 dígitos, quantidade)</v>
      </c>
      <c r="D19" s="14" t="n">
        <v>1</v>
      </c>
      <c r="E19" s="33" t="n">
        <f aca="false">INDEX(Preços!$D:$D,MATCH(B19,Preços!$A:$A,0))</f>
        <v>9.98</v>
      </c>
      <c r="F19" s="27" t="n">
        <f aca="false">D19*E19</f>
        <v>9.98</v>
      </c>
    </row>
    <row r="20" customFormat="false" ht="15" hidden="false" customHeight="false" outlineLevel="0" collapsed="false">
      <c r="A20" s="13" t="s">
        <v>293</v>
      </c>
      <c r="B20" s="13" t="s">
        <v>189</v>
      </c>
      <c r="C20" s="32" t="str">
        <f aca="false">INDEX(Preços!$B:$B,MATCH(B20,Preços!$A:$A,0))</f>
        <v>Microcontrolador Raspberry Pi Pico (RP2040)</v>
      </c>
      <c r="D20" s="14" t="n">
        <v>1</v>
      </c>
      <c r="E20" s="33" t="n">
        <f aca="false">INDEX(Preços!$D:$D,MATCH(B20,Preços!$A:$A,0))</f>
        <v>39.9</v>
      </c>
      <c r="F20" s="27" t="n">
        <f aca="false">D20*E20</f>
        <v>39.9</v>
      </c>
    </row>
    <row r="21" customFormat="false" ht="15" hidden="false" customHeight="false" outlineLevel="0" collapsed="false">
      <c r="A21" s="13" t="s">
        <v>293</v>
      </c>
      <c r="B21" s="13" t="s">
        <v>192</v>
      </c>
      <c r="C21" s="32" t="str">
        <f aca="false">INDEX(Preços!$B:$B,MATCH(B21,Preços!$A:$A,0))</f>
        <v>Módulo transceptor RS-485 (MAX485)</v>
      </c>
      <c r="D21" s="14" t="n">
        <v>1</v>
      </c>
      <c r="E21" s="33" t="n">
        <f aca="false">INDEX(Preços!$D:$D,MATCH(B21,Preços!$A:$A,0))</f>
        <v>8.9</v>
      </c>
      <c r="F21" s="27" t="n">
        <f aca="false">D21*E21</f>
        <v>8.9</v>
      </c>
    </row>
    <row r="22" customFormat="false" ht="15" hidden="false" customHeight="false" outlineLevel="0" collapsed="false">
      <c r="A22" s="13" t="s">
        <v>293</v>
      </c>
      <c r="B22" s="13" t="s">
        <v>205</v>
      </c>
      <c r="C22" s="32" t="str">
        <f aca="false">INDEX(Preços!$B:$B,MATCH(B22,Preços!$A:$A,0))</f>
        <v>Regulador step-down 12 V → 5 V (mini, 3 A)</v>
      </c>
      <c r="D22" s="14" t="n">
        <v>1</v>
      </c>
      <c r="E22" s="33" t="n">
        <f aca="false">INDEX(Preços!$D:$D,MATCH(B22,Preços!$A:$A,0))</f>
        <v>8</v>
      </c>
      <c r="F22" s="27" t="n">
        <f aca="false">D22*E22</f>
        <v>8</v>
      </c>
    </row>
    <row r="23" customFormat="false" ht="15" hidden="false" customHeight="false" outlineLevel="0" collapsed="false">
      <c r="A23" s="13" t="s">
        <v>293</v>
      </c>
      <c r="B23" s="13" t="s">
        <v>208</v>
      </c>
      <c r="C23" s="32" t="str">
        <f aca="false">INDEX(Preços!$B:$B,MATCH(B23,Preços!$A:$A,0))</f>
        <v>Botão de confirmação com LED (16 mm, momentâneo)</v>
      </c>
      <c r="D23" s="14" t="n">
        <v>1</v>
      </c>
      <c r="E23" s="33" t="n">
        <f aca="false">INDEX(Preços!$D:$D,MATCH(B23,Preços!$A:$A,0))</f>
        <v>7</v>
      </c>
      <c r="F23" s="27" t="n">
        <f aca="false">D23*E23</f>
        <v>7</v>
      </c>
    </row>
    <row r="24" customFormat="false" ht="15" hidden="false" customHeight="false" outlineLevel="0" collapsed="false">
      <c r="A24" s="13" t="s">
        <v>293</v>
      </c>
      <c r="B24" s="13" t="s">
        <v>210</v>
      </c>
      <c r="C24" s="32" t="str">
        <f aca="false">INDEX(Preços!$B:$B,MATCH(B24,Preços!$A:$A,0))</f>
        <v>Conector RJ45 fêmea para placa (jack)</v>
      </c>
      <c r="D24" s="14" t="n">
        <v>2</v>
      </c>
      <c r="E24" s="33" t="n">
        <f aca="false">INDEX(Preços!$D:$D,MATCH(B24,Preços!$A:$A,0))</f>
        <v>2.5</v>
      </c>
      <c r="F24" s="27" t="n">
        <f aca="false">D24*E24</f>
        <v>5</v>
      </c>
    </row>
    <row r="25" customFormat="false" ht="15" hidden="false" customHeight="false" outlineLevel="0" collapsed="false">
      <c r="A25" s="13" t="s">
        <v>293</v>
      </c>
      <c r="B25" s="13" t="s">
        <v>220</v>
      </c>
      <c r="C25" s="32" t="str">
        <f aca="false">INDEX(Preços!$B:$B,MATCH(B25,Preços!$A:$A,0))</f>
        <v>Carcaça do Módulo E+Q / Nó de coluna</v>
      </c>
      <c r="D25" s="14" t="n">
        <v>1</v>
      </c>
      <c r="E25" s="33" t="n">
        <f aca="false">INDEX(Preços!$D:$D,MATCH(B25,Preços!$A:$A,0))</f>
        <v>15</v>
      </c>
      <c r="F25" s="27" t="n">
        <f aca="false">D25*E25</f>
        <v>15</v>
      </c>
    </row>
    <row r="26" customFormat="false" ht="15" hidden="false" customHeight="false" outlineLevel="0" collapsed="false">
      <c r="A26" s="13" t="s">
        <v>293</v>
      </c>
      <c r="B26" s="13" t="s">
        <v>222</v>
      </c>
      <c r="C26" s="32" t="str">
        <f aca="false">INDEX(Preços!$B:$B,MATCH(B26,Preços!$A:$A,0))</f>
        <v>Placa base universal + bornes (nó / módulo E+Q)</v>
      </c>
      <c r="D26" s="14" t="n">
        <v>1</v>
      </c>
      <c r="E26" s="33" t="n">
        <f aca="false">INDEX(Preços!$D:$D,MATCH(B26,Preços!$A:$A,0))</f>
        <v>10</v>
      </c>
      <c r="F26" s="27" t="n">
        <f aca="false">D26*E26</f>
        <v>10</v>
      </c>
    </row>
    <row r="27" customFormat="false" ht="15" hidden="false" customHeight="false" outlineLevel="0" collapsed="false">
      <c r="A27" s="34" t="s">
        <v>294</v>
      </c>
      <c r="B27" s="35"/>
      <c r="C27" s="35"/>
      <c r="D27" s="35"/>
      <c r="E27" s="35"/>
      <c r="F27" s="36" t="n">
        <f aca="false">SUM(F18:F26)</f>
        <v>123.95</v>
      </c>
    </row>
    <row r="29" customFormat="false" ht="15" hidden="false" customHeight="false" outlineLevel="0" collapsed="false">
      <c r="A29" s="13" t="s">
        <v>295</v>
      </c>
      <c r="B29" s="13" t="s">
        <v>195</v>
      </c>
      <c r="C29" s="32" t="str">
        <f aca="false">INDEX(Preços!$B:$B,MATCH(B29,Preços!$A:$A,0))</f>
        <v>Placa do concentrador RP2040 + Ethernet W5500 (W5500-EVB-Pico)</v>
      </c>
      <c r="D29" s="14" t="n">
        <v>1</v>
      </c>
      <c r="E29" s="33" t="n">
        <f aca="false">INDEX(Preços!$D:$D,MATCH(B29,Preços!$A:$A,0))</f>
        <v>119.730875</v>
      </c>
      <c r="F29" s="27" t="n">
        <f aca="false">D29*E29</f>
        <v>119.730875</v>
      </c>
    </row>
    <row r="30" customFormat="false" ht="15" hidden="false" customHeight="false" outlineLevel="0" collapsed="false">
      <c r="A30" s="13" t="s">
        <v>295</v>
      </c>
      <c r="B30" s="13" t="s">
        <v>192</v>
      </c>
      <c r="C30" s="32" t="str">
        <f aca="false">INDEX(Preços!$B:$B,MATCH(B30,Preços!$A:$A,0))</f>
        <v>Módulo transceptor RS-485 (MAX485)</v>
      </c>
      <c r="D30" s="14" t="n">
        <v>2</v>
      </c>
      <c r="E30" s="33" t="n">
        <f aca="false">INDEX(Preços!$D:$D,MATCH(B30,Preços!$A:$A,0))</f>
        <v>8.9</v>
      </c>
      <c r="F30" s="27" t="n">
        <f aca="false">D30*E30</f>
        <v>17.8</v>
      </c>
    </row>
    <row r="31" customFormat="false" ht="15" hidden="false" customHeight="false" outlineLevel="0" collapsed="false">
      <c r="A31" s="13" t="s">
        <v>295</v>
      </c>
      <c r="B31" s="13" t="s">
        <v>199</v>
      </c>
      <c r="C31" s="32" t="str">
        <f aca="false">INDEX(Preços!$B:$B,MATCH(B31,Preços!$A:$A,0))</f>
        <v>Fonte Mean Well LRS-150-12 (12 V / 12,5 A / 150 W)</v>
      </c>
      <c r="D31" s="14" t="n">
        <v>1</v>
      </c>
      <c r="E31" s="33" t="n">
        <f aca="false">INDEX(Preços!$D:$D,MATCH(B31,Preços!$A:$A,0))</f>
        <v>189.98</v>
      </c>
      <c r="F31" s="27" t="n">
        <f aca="false">D31*E31</f>
        <v>189.98</v>
      </c>
    </row>
    <row r="32" customFormat="false" ht="15" hidden="false" customHeight="false" outlineLevel="0" collapsed="false">
      <c r="A32" s="13" t="s">
        <v>295</v>
      </c>
      <c r="B32" s="13" t="s">
        <v>205</v>
      </c>
      <c r="C32" s="32" t="str">
        <f aca="false">INDEX(Preços!$B:$B,MATCH(B32,Preços!$A:$A,0))</f>
        <v>Regulador step-down 12 V → 5 V (mini, 3 A)</v>
      </c>
      <c r="D32" s="14" t="n">
        <v>1</v>
      </c>
      <c r="E32" s="33" t="n">
        <f aca="false">INDEX(Preços!$D:$D,MATCH(B32,Preços!$A:$A,0))</f>
        <v>8</v>
      </c>
      <c r="F32" s="27" t="n">
        <f aca="false">D32*E32</f>
        <v>8</v>
      </c>
    </row>
    <row r="33" customFormat="false" ht="23.85" hidden="false" customHeight="false" outlineLevel="0" collapsed="false">
      <c r="A33" s="13" t="s">
        <v>295</v>
      </c>
      <c r="B33" s="13" t="s">
        <v>224</v>
      </c>
      <c r="C33" s="32" t="str">
        <f aca="false">INDEX(Preços!$B:$B,MATCH(B33,Preços!$A:$A,0))</f>
        <v>Gabinete do concentrador ventilado (caixa IP54 + cooler 40 mm 12 V + filtro)</v>
      </c>
      <c r="D33" s="14" t="n">
        <v>1</v>
      </c>
      <c r="E33" s="33" t="n">
        <f aca="false">INDEX(Preços!$D:$D,MATCH(B33,Preços!$A:$A,0))</f>
        <v>90</v>
      </c>
      <c r="F33" s="27" t="n">
        <f aca="false">D33*E33</f>
        <v>90</v>
      </c>
    </row>
    <row r="34" customFormat="false" ht="15" hidden="false" customHeight="false" outlineLevel="0" collapsed="false">
      <c r="A34" s="13" t="s">
        <v>295</v>
      </c>
      <c r="B34" s="13" t="s">
        <v>227</v>
      </c>
      <c r="C34" s="32" t="str">
        <f aca="false">INDEX(Preços!$B:$B,MATCH(B34,Preços!$A:$A,0))</f>
        <v>Trilho DIN + bornes + disjuntor 2 A</v>
      </c>
      <c r="D34" s="14" t="n">
        <v>1</v>
      </c>
      <c r="E34" s="33" t="n">
        <f aca="false">INDEX(Preços!$D:$D,MATCH(B34,Preços!$A:$A,0))</f>
        <v>45</v>
      </c>
      <c r="F34" s="27" t="n">
        <f aca="false">D34*E34</f>
        <v>45</v>
      </c>
    </row>
    <row r="35" customFormat="false" ht="15" hidden="false" customHeight="false" outlineLevel="0" collapsed="false">
      <c r="A35" s="13" t="s">
        <v>295</v>
      </c>
      <c r="B35" s="13" t="s">
        <v>210</v>
      </c>
      <c r="C35" s="32" t="str">
        <f aca="false">INDEX(Preços!$B:$B,MATCH(B35,Preços!$A:$A,0))</f>
        <v>Conector RJ45 fêmea para placa (jack)</v>
      </c>
      <c r="D35" s="14" t="n">
        <v>2</v>
      </c>
      <c r="E35" s="33" t="n">
        <f aca="false">INDEX(Preços!$D:$D,MATCH(B35,Preços!$A:$A,0))</f>
        <v>2.5</v>
      </c>
      <c r="F35" s="27" t="n">
        <f aca="false">D35*E35</f>
        <v>5</v>
      </c>
    </row>
    <row r="36" customFormat="false" ht="15" hidden="false" customHeight="false" outlineLevel="0" collapsed="false">
      <c r="A36" s="34" t="s">
        <v>296</v>
      </c>
      <c r="B36" s="35"/>
      <c r="C36" s="35"/>
      <c r="D36" s="35"/>
      <c r="E36" s="35"/>
      <c r="F36" s="36" t="n">
        <f aca="false">SUM(F29:F35)</f>
        <v>475.510875</v>
      </c>
    </row>
    <row r="38" customFormat="false" ht="15" hidden="false" customHeight="false" outlineLevel="0" collapsed="false">
      <c r="A38" s="13" t="s">
        <v>297</v>
      </c>
      <c r="B38" s="13" t="s">
        <v>195</v>
      </c>
      <c r="C38" s="32" t="str">
        <f aca="false">INDEX(Preços!$B:$B,MATCH(B38,Preços!$A:$A,0))</f>
        <v>Placa do concentrador RP2040 + Ethernet W5500 (W5500-EVB-Pico)</v>
      </c>
      <c r="D38" s="14" t="n">
        <v>1</v>
      </c>
      <c r="E38" s="33" t="n">
        <f aca="false">INDEX(Preços!$D:$D,MATCH(B38,Preços!$A:$A,0))</f>
        <v>119.730875</v>
      </c>
      <c r="F38" s="27" t="n">
        <f aca="false">D38*E38</f>
        <v>119.730875</v>
      </c>
    </row>
    <row r="39" customFormat="false" ht="15" hidden="false" customHeight="false" outlineLevel="0" collapsed="false">
      <c r="A39" s="13" t="s">
        <v>297</v>
      </c>
      <c r="B39" s="13" t="s">
        <v>192</v>
      </c>
      <c r="C39" s="32" t="str">
        <f aca="false">INDEX(Preços!$B:$B,MATCH(B39,Preços!$A:$A,0))</f>
        <v>Módulo transceptor RS-485 (MAX485)</v>
      </c>
      <c r="D39" s="14" t="n">
        <v>2</v>
      </c>
      <c r="E39" s="33" t="n">
        <f aca="false">INDEX(Preços!$D:$D,MATCH(B39,Preços!$A:$A,0))</f>
        <v>8.9</v>
      </c>
      <c r="F39" s="27" t="n">
        <f aca="false">D39*E39</f>
        <v>17.8</v>
      </c>
    </row>
    <row r="40" customFormat="false" ht="15" hidden="false" customHeight="false" outlineLevel="0" collapsed="false">
      <c r="A40" s="13" t="s">
        <v>297</v>
      </c>
      <c r="B40" s="13" t="s">
        <v>202</v>
      </c>
      <c r="C40" s="32" t="str">
        <f aca="false">INDEX(Preços!$B:$B,MATCH(B40,Preços!$A:$A,0))</f>
        <v>Fonte Mean Well LRS-150-5 (5 V / 26 A), variante 5 V</v>
      </c>
      <c r="D40" s="14" t="n">
        <v>1</v>
      </c>
      <c r="E40" s="33" t="n">
        <f aca="false">INDEX(Preços!$D:$D,MATCH(B40,Preços!$A:$A,0))</f>
        <v>185</v>
      </c>
      <c r="F40" s="27" t="n">
        <f aca="false">D40*E40</f>
        <v>185</v>
      </c>
    </row>
    <row r="41" customFormat="false" ht="23.85" hidden="false" customHeight="false" outlineLevel="0" collapsed="false">
      <c r="A41" s="13" t="s">
        <v>297</v>
      </c>
      <c r="B41" s="13" t="s">
        <v>224</v>
      </c>
      <c r="C41" s="32" t="str">
        <f aca="false">INDEX(Preços!$B:$B,MATCH(B41,Preços!$A:$A,0))</f>
        <v>Gabinete do concentrador ventilado (caixa IP54 + cooler 40 mm 12 V + filtro)</v>
      </c>
      <c r="D41" s="14" t="n">
        <v>1</v>
      </c>
      <c r="E41" s="33" t="n">
        <f aca="false">INDEX(Preços!$D:$D,MATCH(B41,Preços!$A:$A,0))</f>
        <v>90</v>
      </c>
      <c r="F41" s="27" t="n">
        <f aca="false">D41*E41</f>
        <v>90</v>
      </c>
    </row>
    <row r="42" customFormat="false" ht="15" hidden="false" customHeight="false" outlineLevel="0" collapsed="false">
      <c r="A42" s="13" t="s">
        <v>297</v>
      </c>
      <c r="B42" s="13" t="s">
        <v>227</v>
      </c>
      <c r="C42" s="32" t="str">
        <f aca="false">INDEX(Preços!$B:$B,MATCH(B42,Preços!$A:$A,0))</f>
        <v>Trilho DIN + bornes + disjuntor 2 A</v>
      </c>
      <c r="D42" s="14" t="n">
        <v>1</v>
      </c>
      <c r="E42" s="33" t="n">
        <f aca="false">INDEX(Preços!$D:$D,MATCH(B42,Preços!$A:$A,0))</f>
        <v>45</v>
      </c>
      <c r="F42" s="27" t="n">
        <f aca="false">D42*E42</f>
        <v>45</v>
      </c>
    </row>
    <row r="43" customFormat="false" ht="15" hidden="false" customHeight="false" outlineLevel="0" collapsed="false">
      <c r="A43" s="13" t="s">
        <v>297</v>
      </c>
      <c r="B43" s="13" t="s">
        <v>210</v>
      </c>
      <c r="C43" s="32" t="str">
        <f aca="false">INDEX(Preços!$B:$B,MATCH(B43,Preços!$A:$A,0))</f>
        <v>Conector RJ45 fêmea para placa (jack)</v>
      </c>
      <c r="D43" s="14" t="n">
        <v>2</v>
      </c>
      <c r="E43" s="33" t="n">
        <f aca="false">INDEX(Preços!$D:$D,MATCH(B43,Preços!$A:$A,0))</f>
        <v>2.5</v>
      </c>
      <c r="F43" s="27" t="n">
        <f aca="false">D43*E43</f>
        <v>5</v>
      </c>
    </row>
    <row r="44" customFormat="false" ht="15" hidden="false" customHeight="false" outlineLevel="0" collapsed="false">
      <c r="A44" s="34" t="s">
        <v>298</v>
      </c>
      <c r="B44" s="35"/>
      <c r="C44" s="35"/>
      <c r="D44" s="35"/>
      <c r="E44" s="35"/>
      <c r="F44" s="36" t="n">
        <f aca="false">SUM(F38:F43)</f>
        <v>462.530875</v>
      </c>
    </row>
    <row r="46" customFormat="false" ht="15" hidden="false" customHeight="false" outlineLevel="0" collapsed="false">
      <c r="A46" s="13" t="s">
        <v>299</v>
      </c>
      <c r="B46" s="13" t="s">
        <v>246</v>
      </c>
      <c r="C46" s="32" t="str">
        <f aca="false">INDEX(Preços!$B:$B,MATCH(B46,Preços!$A:$A,0))</f>
        <v>ESP32-C3 Super Mini (pulseira)</v>
      </c>
      <c r="D46" s="14" t="n">
        <v>1</v>
      </c>
      <c r="E46" s="33" t="n">
        <f aca="false">INDEX(Preços!$D:$D,MATCH(B46,Preços!$A:$A,0))</f>
        <v>29.89</v>
      </c>
      <c r="F46" s="27" t="n">
        <f aca="false">D46*E46</f>
        <v>29.89</v>
      </c>
    </row>
    <row r="47" customFormat="false" ht="15" hidden="false" customHeight="false" outlineLevel="0" collapsed="false">
      <c r="A47" s="13" t="s">
        <v>299</v>
      </c>
      <c r="B47" s="13" t="s">
        <v>249</v>
      </c>
      <c r="C47" s="32" t="str">
        <f aca="false">INDEX(Preços!$B:$B,MATCH(B47,Preços!$A:$A,0))</f>
        <v>Módulo leitor NFC PN532 (43×40 mm, com cartão e chaveiro)</v>
      </c>
      <c r="D47" s="14" t="n">
        <v>1</v>
      </c>
      <c r="E47" s="33" t="n">
        <f aca="false">INDEX(Preços!$D:$D,MATCH(B47,Preços!$A:$A,0))</f>
        <v>42.65</v>
      </c>
      <c r="F47" s="27" t="n">
        <f aca="false">D47*E47</f>
        <v>42.65</v>
      </c>
    </row>
    <row r="48" customFormat="false" ht="23.85" hidden="false" customHeight="false" outlineLevel="0" collapsed="false">
      <c r="A48" s="13" t="s">
        <v>299</v>
      </c>
      <c r="B48" s="13" t="s">
        <v>252</v>
      </c>
      <c r="C48" s="32" t="str">
        <f aca="false">INDEX(Preços!$B:$B,MATCH(B48,Preços!$A:$A,0))</f>
        <v>Kit energia pulseira (LiPo 500 mAh + TP4056 + motor vibração + botão)</v>
      </c>
      <c r="D48" s="14" t="n">
        <v>1</v>
      </c>
      <c r="E48" s="33" t="n">
        <f aca="false">INDEX(Preços!$D:$D,MATCH(B48,Preços!$A:$A,0))</f>
        <v>35</v>
      </c>
      <c r="F48" s="27" t="n">
        <f aca="false">D48*E48</f>
        <v>35</v>
      </c>
    </row>
    <row r="49" customFormat="false" ht="15" hidden="false" customHeight="false" outlineLevel="0" collapsed="false">
      <c r="A49" s="13" t="s">
        <v>299</v>
      </c>
      <c r="B49" s="13" t="s">
        <v>254</v>
      </c>
      <c r="C49" s="32" t="str">
        <f aca="false">INDEX(Preços!$B:$B,MATCH(B49,Preços!$A:$A,0))</f>
        <v>Carcaça 3D + pulseira velcro</v>
      </c>
      <c r="D49" s="14" t="n">
        <v>1</v>
      </c>
      <c r="E49" s="33" t="n">
        <f aca="false">INDEX(Preços!$D:$D,MATCH(B49,Preços!$A:$A,0))</f>
        <v>20</v>
      </c>
      <c r="F49" s="27" t="n">
        <f aca="false">D49*E49</f>
        <v>20</v>
      </c>
    </row>
    <row r="50" customFormat="false" ht="15" hidden="false" customHeight="false" outlineLevel="0" collapsed="false">
      <c r="A50" s="34" t="s">
        <v>300</v>
      </c>
      <c r="B50" s="35"/>
      <c r="C50" s="35"/>
      <c r="D50" s="35"/>
      <c r="E50" s="35"/>
      <c r="F50" s="36" t="n">
        <f aca="false">SUM(F46:F49)</f>
        <v>127.54</v>
      </c>
    </row>
    <row r="52" customFormat="false" ht="15" hidden="false" customHeight="false" outlineLevel="0" collapsed="false">
      <c r="A52" s="13" t="s">
        <v>301</v>
      </c>
      <c r="B52" s="13" t="s">
        <v>249</v>
      </c>
      <c r="C52" s="32" t="str">
        <f aca="false">INDEX(Preços!$B:$B,MATCH(B52,Preços!$A:$A,0))</f>
        <v>Módulo leitor NFC PN532 (43×40 mm, com cartão e chaveiro)</v>
      </c>
      <c r="D52" s="14" t="n">
        <v>1</v>
      </c>
      <c r="E52" s="33" t="n">
        <f aca="false">INDEX(Preços!$D:$D,MATCH(B52,Preços!$A:$A,0))</f>
        <v>42.65</v>
      </c>
      <c r="F52" s="27" t="n">
        <f aca="false">D52*E52</f>
        <v>42.65</v>
      </c>
    </row>
    <row r="53" customFormat="false" ht="15" hidden="false" customHeight="false" outlineLevel="0" collapsed="false">
      <c r="A53" s="13" t="s">
        <v>301</v>
      </c>
      <c r="B53" s="13" t="s">
        <v>256</v>
      </c>
      <c r="C53" s="32" t="str">
        <f aca="false">INDEX(Preços!$B:$B,MATCH(B53,Preços!$A:$A,0))</f>
        <v>Display LCD 20×4 I2C (painel da estação, Arq. B2)</v>
      </c>
      <c r="D53" s="14" t="n">
        <v>1</v>
      </c>
      <c r="E53" s="33" t="n">
        <f aca="false">INDEX(Preços!$D:$D,MATCH(B53,Preços!$A:$A,0))</f>
        <v>35</v>
      </c>
      <c r="F53" s="27" t="n">
        <f aca="false">D53*E53</f>
        <v>35</v>
      </c>
    </row>
    <row r="54" customFormat="false" ht="15" hidden="false" customHeight="false" outlineLevel="0" collapsed="false">
      <c r="A54" s="13" t="s">
        <v>301</v>
      </c>
      <c r="B54" s="13" t="s">
        <v>208</v>
      </c>
      <c r="C54" s="32" t="str">
        <f aca="false">INDEX(Preços!$B:$B,MATCH(B54,Preços!$A:$A,0))</f>
        <v>Botão de confirmação com LED (16 mm, momentâneo)</v>
      </c>
      <c r="D54" s="14" t="n">
        <v>1</v>
      </c>
      <c r="E54" s="33" t="n">
        <f aca="false">INDEX(Preços!$D:$D,MATCH(B54,Preços!$A:$A,0))</f>
        <v>7</v>
      </c>
      <c r="F54" s="27" t="n">
        <f aca="false">D54*E54</f>
        <v>7</v>
      </c>
    </row>
    <row r="55" customFormat="false" ht="15" hidden="false" customHeight="false" outlineLevel="0" collapsed="false">
      <c r="A55" s="13" t="s">
        <v>301</v>
      </c>
      <c r="B55" s="13" t="s">
        <v>220</v>
      </c>
      <c r="C55" s="32" t="str">
        <f aca="false">INDEX(Preços!$B:$B,MATCH(B55,Preços!$A:$A,0))</f>
        <v>Carcaça do Módulo E+Q / Nó de coluna</v>
      </c>
      <c r="D55" s="14" t="n">
        <v>1</v>
      </c>
      <c r="E55" s="33" t="n">
        <f aca="false">INDEX(Preços!$D:$D,MATCH(B55,Preços!$A:$A,0))</f>
        <v>15</v>
      </c>
      <c r="F55" s="27" t="n">
        <f aca="false">D55*E55</f>
        <v>15</v>
      </c>
    </row>
    <row r="56" customFormat="false" ht="15" hidden="false" customHeight="false" outlineLevel="0" collapsed="false">
      <c r="A56" s="13" t="s">
        <v>301</v>
      </c>
      <c r="B56" s="13" t="s">
        <v>215</v>
      </c>
      <c r="C56" s="32" t="str">
        <f aca="false">INDEX(Preços!$B:$B,MATCH(B56,Preços!$A:$A,0))</f>
        <v>Cabo Cat5e (por metro)</v>
      </c>
      <c r="D56" s="14" t="n">
        <v>5</v>
      </c>
      <c r="E56" s="33" t="n">
        <f aca="false">INDEX(Preços!$D:$D,MATCH(B56,Preços!$A:$A,0))</f>
        <v>4.03085245901639</v>
      </c>
      <c r="F56" s="27" t="n">
        <f aca="false">D56*E56</f>
        <v>20.154262295082</v>
      </c>
    </row>
    <row r="57" customFormat="false" ht="15" hidden="false" customHeight="false" outlineLevel="0" collapsed="false">
      <c r="A57" s="13" t="s">
        <v>301</v>
      </c>
      <c r="B57" s="13" t="s">
        <v>212</v>
      </c>
      <c r="C57" s="32" t="str">
        <f aca="false">INDEX(Preços!$B:$B,MATCH(B57,Preços!$A:$A,0))</f>
        <v>Plug RJ45 Cat5e (macho)</v>
      </c>
      <c r="D57" s="14" t="n">
        <v>2</v>
      </c>
      <c r="E57" s="33" t="n">
        <f aca="false">INDEX(Preços!$D:$D,MATCH(B57,Preços!$A:$A,0))</f>
        <v>0.8</v>
      </c>
      <c r="F57" s="27" t="n">
        <f aca="false">D57*E57</f>
        <v>1.6</v>
      </c>
    </row>
    <row r="58" customFormat="false" ht="15" hidden="false" customHeight="false" outlineLevel="0" collapsed="false">
      <c r="A58" s="34" t="s">
        <v>302</v>
      </c>
      <c r="B58" s="35"/>
      <c r="C58" s="35"/>
      <c r="D58" s="35"/>
      <c r="E58" s="35"/>
      <c r="F58" s="36" t="n">
        <f aca="false">SUM(F52:F57)</f>
        <v>121.404262295082</v>
      </c>
    </row>
    <row r="60" customFormat="false" ht="15" hidden="false" customHeight="false" outlineLevel="0" collapsed="false">
      <c r="A60" s="13" t="s">
        <v>303</v>
      </c>
      <c r="B60" s="13" t="s">
        <v>241</v>
      </c>
      <c r="C60" s="32" t="str">
        <f aca="false">INDEX(Preços!$B:$B,MATCH(B60,Preços!$A:$A,0))</f>
        <v>Tag NFC NTAG213 adesiva 13,56 MHz</v>
      </c>
      <c r="D60" s="14" t="n">
        <v>1</v>
      </c>
      <c r="E60" s="33" t="n">
        <f aca="false">INDEX(Preços!$D:$D,MATCH(B60,Preços!$A:$A,0))</f>
        <v>2.37</v>
      </c>
      <c r="F60" s="27" t="n">
        <f aca="false">D60*E60</f>
        <v>2.37</v>
      </c>
    </row>
    <row r="61" customFormat="false" ht="15" hidden="false" customHeight="false" outlineLevel="0" collapsed="false">
      <c r="A61" s="13" t="s">
        <v>303</v>
      </c>
      <c r="B61" s="13" t="s">
        <v>244</v>
      </c>
      <c r="C61" s="32" t="str">
        <f aca="false">INDEX(Preços!$B:$B,MATCH(B61,Preços!$A:$A,0))</f>
        <v>Suporte/proteção da tag na caixa retornável</v>
      </c>
      <c r="D61" s="14" t="n">
        <v>1</v>
      </c>
      <c r="E61" s="33" t="n">
        <f aca="false">INDEX(Preços!$D:$D,MATCH(B61,Preços!$A:$A,0))</f>
        <v>0.5</v>
      </c>
      <c r="F61" s="27" t="n">
        <f aca="false">D61*E61</f>
        <v>0.5</v>
      </c>
    </row>
    <row r="62" customFormat="false" ht="15" hidden="false" customHeight="false" outlineLevel="0" collapsed="false">
      <c r="A62" s="34" t="s">
        <v>304</v>
      </c>
      <c r="B62" s="35"/>
      <c r="C62" s="35"/>
      <c r="D62" s="35"/>
      <c r="E62" s="35"/>
      <c r="F62" s="36" t="n">
        <f aca="false">SUM(F60:F61)</f>
        <v>2.87</v>
      </c>
    </row>
    <row r="64" customFormat="false" ht="15" hidden="false" customHeight="false" outlineLevel="0" collapsed="false">
      <c r="A64" s="6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177</v>
      </c>
      <c r="B1" s="7" t="s">
        <v>306</v>
      </c>
      <c r="C1" s="7" t="s">
        <v>307</v>
      </c>
      <c r="D1" s="7" t="s">
        <v>308</v>
      </c>
      <c r="E1" s="7" t="s">
        <v>287</v>
      </c>
      <c r="F1" s="7" t="s">
        <v>309</v>
      </c>
      <c r="G1" s="7" t="s">
        <v>310</v>
      </c>
    </row>
    <row r="2" customFormat="false" ht="15" hidden="false" customHeight="false" outlineLevel="0" collapsed="false">
      <c r="A2" s="12" t="s">
        <v>311</v>
      </c>
    </row>
    <row r="3" customFormat="false" ht="15" hidden="false" customHeight="false" outlineLevel="0" collapsed="false">
      <c r="A3" s="13" t="s">
        <v>312</v>
      </c>
      <c r="B3" s="9" t="s">
        <v>313</v>
      </c>
      <c r="C3" s="37" t="n">
        <f aca="false">ROUNDUP(Estações!$F$44*(1+Premissas!$B$14),0)</f>
        <v>71</v>
      </c>
      <c r="D3" s="37" t="n">
        <f aca="false">ROUNDUP(Estações!$F$43*(1+Premissas!$B$14),0)</f>
        <v>1408</v>
      </c>
      <c r="E3" s="33" t="n">
        <f aca="false">Composição!$F$8</f>
        <v>34.1417049180328</v>
      </c>
      <c r="F3" s="27" t="n">
        <f aca="false">C3*E3</f>
        <v>2424.06104918033</v>
      </c>
      <c r="G3" s="27" t="n">
        <f aca="false">D3*E3</f>
        <v>48071.5205245902</v>
      </c>
    </row>
    <row r="4" customFormat="false" ht="15" hidden="false" customHeight="false" outlineLevel="0" collapsed="false">
      <c r="A4" s="13" t="s">
        <v>314</v>
      </c>
      <c r="B4" s="9" t="s">
        <v>315</v>
      </c>
      <c r="C4" s="37" t="n">
        <f aca="false">ROUNDUP(Estações!$K$44*(1+Premissas!$B$14),0)</f>
        <v>22</v>
      </c>
      <c r="D4" s="37" t="n">
        <f aca="false">ROUNDUP(Estações!$K$43*(1+Premissas!$B$14),0)</f>
        <v>440</v>
      </c>
      <c r="E4" s="33" t="n">
        <f aca="false">Composição!$F$16</f>
        <v>96.8</v>
      </c>
      <c r="F4" s="27" t="n">
        <f aca="false">C4*E4</f>
        <v>2129.6</v>
      </c>
      <c r="G4" s="27" t="n">
        <f aca="false">D4*E4</f>
        <v>42592</v>
      </c>
    </row>
    <row r="5" customFormat="false" ht="15" hidden="false" customHeight="false" outlineLevel="0" collapsed="false">
      <c r="A5" s="13" t="s">
        <v>316</v>
      </c>
      <c r="B5" s="9" t="s">
        <v>317</v>
      </c>
      <c r="C5" s="37" t="n">
        <f aca="false">ROUNDUP(Estações!$M$44*(1+Premissas!$B$14),0)</f>
        <v>27</v>
      </c>
      <c r="D5" s="37" t="n">
        <f aca="false">ROUNDUP(Estações!$M$43*(1+Premissas!$B$14),0)</f>
        <v>534</v>
      </c>
      <c r="E5" s="33" t="n">
        <f aca="false">Composição!$F$27</f>
        <v>123.95</v>
      </c>
      <c r="F5" s="27" t="n">
        <f aca="false">C5*E5</f>
        <v>3346.65</v>
      </c>
      <c r="G5" s="27" t="n">
        <f aca="false">D5*E5</f>
        <v>66189.3</v>
      </c>
    </row>
    <row r="6" customFormat="false" ht="15" hidden="false" customHeight="false" outlineLevel="0" collapsed="false">
      <c r="A6" s="13" t="s">
        <v>318</v>
      </c>
      <c r="B6" s="9" t="s">
        <v>319</v>
      </c>
      <c r="C6" s="37" t="n">
        <f aca="false">ROUNDUP(Estações!$O$44*(1+Premissas!$B$14),0)</f>
        <v>3</v>
      </c>
      <c r="D6" s="37" t="n">
        <f aca="false">ROUNDUP(Estações!$O$43*(1+Premissas!$B$14),0)</f>
        <v>44</v>
      </c>
      <c r="E6" s="33" t="n">
        <f aca="false">Composição!$F$36</f>
        <v>475.510875</v>
      </c>
      <c r="F6" s="27" t="n">
        <f aca="false">C6*E6</f>
        <v>1426.532625</v>
      </c>
      <c r="G6" s="27" t="n">
        <f aca="false">D6*E6</f>
        <v>20922.4785</v>
      </c>
    </row>
    <row r="7" customFormat="false" ht="15" hidden="false" customHeight="false" outlineLevel="0" collapsed="false">
      <c r="A7" s="13" t="s">
        <v>320</v>
      </c>
      <c r="B7" s="9" t="s">
        <v>321</v>
      </c>
      <c r="C7" s="37" t="n">
        <f aca="false">Estações!$N$44*Premissas!$B$15</f>
        <v>144</v>
      </c>
      <c r="D7" s="37" t="n">
        <f aca="false">Estações!$N$43*Premissas!$B$15</f>
        <v>2895</v>
      </c>
      <c r="E7" s="33" t="n">
        <f aca="false">Preços!$D$13</f>
        <v>4.03085245901639</v>
      </c>
      <c r="F7" s="27" t="n">
        <f aca="false">C7*E7</f>
        <v>580.442754098361</v>
      </c>
      <c r="G7" s="27" t="n">
        <f aca="false">D7*E7</f>
        <v>11669.3178688525</v>
      </c>
    </row>
    <row r="8" customFormat="false" ht="15" hidden="false" customHeight="false" outlineLevel="0" collapsed="false">
      <c r="A8" s="13" t="s">
        <v>322</v>
      </c>
      <c r="B8" s="9" t="s">
        <v>323</v>
      </c>
      <c r="C8" s="37" t="n">
        <f aca="false">Estações!$N$44*2</f>
        <v>96</v>
      </c>
      <c r="D8" s="37" t="n">
        <f aca="false">Estações!$N$43*2</f>
        <v>1930</v>
      </c>
      <c r="E8" s="33" t="n">
        <f aca="false">Preços!$D$12</f>
        <v>0.8</v>
      </c>
      <c r="F8" s="27" t="n">
        <f aca="false">C8*E8</f>
        <v>76.8</v>
      </c>
      <c r="G8" s="27" t="n">
        <f aca="false">D8*E8</f>
        <v>1544</v>
      </c>
    </row>
    <row r="9" customFormat="false" ht="15" hidden="false" customHeight="false" outlineLevel="0" collapsed="false">
      <c r="A9" s="13" t="s">
        <v>324</v>
      </c>
      <c r="B9" s="9" t="s">
        <v>325</v>
      </c>
      <c r="C9" s="37" t="n">
        <f aca="false">Estações!$O$44*Premissas!$B$16</f>
        <v>48</v>
      </c>
      <c r="D9" s="37" t="n">
        <f aca="false">Estações!$O$43*Premissas!$B$16</f>
        <v>960</v>
      </c>
      <c r="E9" s="33" t="n">
        <f aca="false">Preços!$D$19</f>
        <v>9</v>
      </c>
      <c r="F9" s="27" t="n">
        <f aca="false">C9*E9</f>
        <v>432</v>
      </c>
      <c r="G9" s="27" t="n">
        <f aca="false">D9*E9</f>
        <v>8640</v>
      </c>
    </row>
    <row r="10" customFormat="false" ht="15" hidden="false" customHeight="false" outlineLevel="0" collapsed="false">
      <c r="A10" s="13" t="s">
        <v>326</v>
      </c>
      <c r="B10" s="9" t="s">
        <v>327</v>
      </c>
      <c r="C10" s="37" t="n">
        <f aca="false">Estações!$O$44</f>
        <v>2</v>
      </c>
      <c r="D10" s="37" t="n">
        <f aca="false">Estações!$O$43</f>
        <v>40</v>
      </c>
      <c r="E10" s="33" t="n">
        <f aca="false">Preços!$D$20</f>
        <v>40</v>
      </c>
      <c r="F10" s="27" t="n">
        <f aca="false">C10*E10</f>
        <v>80</v>
      </c>
      <c r="G10" s="27" t="n">
        <f aca="false">D10*E10</f>
        <v>1600</v>
      </c>
    </row>
    <row r="11" customFormat="false" ht="15" hidden="false" customHeight="false" outlineLevel="0" collapsed="false">
      <c r="A11" s="13" t="s">
        <v>328</v>
      </c>
      <c r="B11" s="9" t="s">
        <v>325</v>
      </c>
      <c r="C11" s="37" t="n">
        <f aca="false">Estações!$O$44*Premissas!$B$17</f>
        <v>100</v>
      </c>
      <c r="D11" s="37" t="n">
        <f aca="false">Estações!$O$43*Premissas!$B$17</f>
        <v>2000</v>
      </c>
      <c r="E11" s="33" t="n">
        <f aca="false">Preços!$D$13</f>
        <v>4.03085245901639</v>
      </c>
      <c r="F11" s="27" t="n">
        <f aca="false">C11*E11</f>
        <v>403.085245901639</v>
      </c>
      <c r="G11" s="27" t="n">
        <f aca="false">D11*E11</f>
        <v>8061.70491803279</v>
      </c>
    </row>
    <row r="12" customFormat="false" ht="15" hidden="false" customHeight="false" outlineLevel="0" collapsed="false">
      <c r="A12" s="13" t="s">
        <v>329</v>
      </c>
      <c r="B12" s="9" t="s">
        <v>330</v>
      </c>
      <c r="C12" s="37" t="n">
        <f aca="false">ROUNDUP(Estações!$O$44/Premissas!$B$18,0)</f>
        <v>1</v>
      </c>
      <c r="D12" s="37" t="n">
        <f aca="false">ROUNDUP(Estações!$O$43/Premissas!$B$18,0)</f>
        <v>2</v>
      </c>
      <c r="E12" s="33" t="n">
        <f aca="false">Preços!$D$21</f>
        <v>769.32</v>
      </c>
      <c r="F12" s="27" t="n">
        <f aca="false">C12*E12</f>
        <v>769.32</v>
      </c>
      <c r="G12" s="27" t="n">
        <f aca="false">D12*E12</f>
        <v>1538.64</v>
      </c>
    </row>
    <row r="13" customFormat="false" ht="15" hidden="false" customHeight="false" outlineLevel="0" collapsed="false">
      <c r="A13" s="34" t="s">
        <v>331</v>
      </c>
      <c r="B13" s="35"/>
      <c r="C13" s="35"/>
      <c r="D13" s="35"/>
      <c r="E13" s="35"/>
      <c r="F13" s="36" t="n">
        <f aca="false">SUM(F3:F12)</f>
        <v>11668.4916741803</v>
      </c>
      <c r="G13" s="36" t="n">
        <f aca="false">SUM(G3:G12)</f>
        <v>210828.961811475</v>
      </c>
    </row>
    <row r="15" customFormat="false" ht="15" hidden="false" customHeight="false" outlineLevel="0" collapsed="false">
      <c r="A15" s="12" t="s">
        <v>332</v>
      </c>
    </row>
    <row r="16" customFormat="false" ht="15" hidden="false" customHeight="false" outlineLevel="0" collapsed="false">
      <c r="A16" s="13" t="s">
        <v>333</v>
      </c>
      <c r="B16" s="13" t="s">
        <v>334</v>
      </c>
      <c r="C16" s="17" t="n">
        <f aca="false">C3*Premissas!$B$8</f>
        <v>17.75</v>
      </c>
      <c r="D16" s="17" t="n">
        <f aca="false">D3*Premissas!$B$8</f>
        <v>352</v>
      </c>
      <c r="E16" s="33" t="n">
        <f aca="false">Premissas!$B$7</f>
        <v>34.9305521472393</v>
      </c>
      <c r="F16" s="27" t="n">
        <f aca="false">C16*E16</f>
        <v>620.017300613497</v>
      </c>
      <c r="G16" s="27" t="n">
        <f aca="false">D16*E16</f>
        <v>12295.5543558282</v>
      </c>
    </row>
    <row r="17" customFormat="false" ht="15" hidden="false" customHeight="false" outlineLevel="0" collapsed="false">
      <c r="A17" s="13" t="s">
        <v>335</v>
      </c>
      <c r="B17" s="13" t="s">
        <v>336</v>
      </c>
      <c r="C17" s="17" t="n">
        <f aca="false">C4*Premissas!$B$9</f>
        <v>16.5</v>
      </c>
      <c r="D17" s="17" t="n">
        <f aca="false">D4*Premissas!$B$9</f>
        <v>330</v>
      </c>
      <c r="E17" s="33" t="n">
        <f aca="false">Premissas!$B$7</f>
        <v>34.9305521472393</v>
      </c>
      <c r="F17" s="27" t="n">
        <f aca="false">C17*E17</f>
        <v>576.354110429448</v>
      </c>
      <c r="G17" s="27" t="n">
        <f aca="false">D17*E17</f>
        <v>11527.082208589</v>
      </c>
    </row>
    <row r="18" customFormat="false" ht="15" hidden="false" customHeight="false" outlineLevel="0" collapsed="false">
      <c r="A18" s="13" t="s">
        <v>337</v>
      </c>
      <c r="B18" s="13" t="s">
        <v>334</v>
      </c>
      <c r="C18" s="17" t="n">
        <f aca="false">C5*Premissas!$B$10</f>
        <v>27</v>
      </c>
      <c r="D18" s="17" t="n">
        <f aca="false">D5*Premissas!$B$10</f>
        <v>534</v>
      </c>
      <c r="E18" s="33" t="n">
        <f aca="false">Premissas!$B$7</f>
        <v>34.9305521472393</v>
      </c>
      <c r="F18" s="27" t="n">
        <f aca="false">C18*E18</f>
        <v>943.12490797546</v>
      </c>
      <c r="G18" s="27" t="n">
        <f aca="false">D18*E18</f>
        <v>18652.9148466258</v>
      </c>
    </row>
    <row r="19" customFormat="false" ht="15" hidden="false" customHeight="false" outlineLevel="0" collapsed="false">
      <c r="A19" s="13" t="s">
        <v>338</v>
      </c>
      <c r="B19" s="13" t="s">
        <v>339</v>
      </c>
      <c r="C19" s="17" t="n">
        <f aca="false">C6*Premissas!$B$11</f>
        <v>6</v>
      </c>
      <c r="D19" s="17" t="n">
        <f aca="false">D6*Premissas!$B$11</f>
        <v>88</v>
      </c>
      <c r="E19" s="33" t="n">
        <f aca="false">Premissas!$B$7</f>
        <v>34.9305521472393</v>
      </c>
      <c r="F19" s="27" t="n">
        <f aca="false">C19*E19</f>
        <v>209.583312883436</v>
      </c>
      <c r="G19" s="27" t="n">
        <f aca="false">D19*E19</f>
        <v>3073.88858895706</v>
      </c>
    </row>
    <row r="20" customFormat="false" ht="15" hidden="false" customHeight="false" outlineLevel="0" collapsed="false">
      <c r="A20" s="13" t="s">
        <v>340</v>
      </c>
      <c r="B20" s="13" t="s">
        <v>341</v>
      </c>
      <c r="C20" s="17" t="n">
        <f aca="false">Estações!$O$44*Premissas!$B$12</f>
        <v>32</v>
      </c>
      <c r="D20" s="17" t="n">
        <f aca="false">Estações!$O$43*Premissas!$B$12</f>
        <v>640</v>
      </c>
      <c r="E20" s="33" t="n">
        <f aca="false">Premissas!$B$7</f>
        <v>34.9305521472393</v>
      </c>
      <c r="F20" s="27" t="n">
        <f aca="false">C20*E20</f>
        <v>1117.77766871166</v>
      </c>
      <c r="G20" s="27" t="n">
        <f aca="false">D20*E20</f>
        <v>22355.5533742331</v>
      </c>
    </row>
    <row r="21" customFormat="false" ht="15" hidden="false" customHeight="false" outlineLevel="0" collapsed="false">
      <c r="A21" s="13" t="s">
        <v>342</v>
      </c>
      <c r="B21" s="13" t="s">
        <v>341</v>
      </c>
      <c r="C21" s="17" t="n">
        <f aca="false">Estações!$O$44*Premissas!$B$13</f>
        <v>8</v>
      </c>
      <c r="D21" s="17" t="n">
        <f aca="false">Estações!$O$43*Premissas!$B$13</f>
        <v>160</v>
      </c>
      <c r="E21" s="33" t="n">
        <f aca="false">Premissas!$B$7</f>
        <v>34.9305521472393</v>
      </c>
      <c r="F21" s="27" t="n">
        <f aca="false">C21*E21</f>
        <v>279.444417177914</v>
      </c>
      <c r="G21" s="27" t="n">
        <f aca="false">D21*E21</f>
        <v>5588.88834355828</v>
      </c>
    </row>
    <row r="22" customFormat="false" ht="15" hidden="false" customHeight="false" outlineLevel="0" collapsed="false">
      <c r="A22" s="34" t="s">
        <v>343</v>
      </c>
      <c r="B22" s="35"/>
      <c r="C22" s="38" t="n">
        <f aca="false">SUM(C16:C21)</f>
        <v>107.25</v>
      </c>
      <c r="D22" s="38" t="n">
        <f aca="false">SUM(D16:D21)</f>
        <v>2104</v>
      </c>
      <c r="E22" s="35"/>
      <c r="F22" s="36" t="n">
        <f aca="false">SUM(F16:F21)</f>
        <v>3746.30171779141</v>
      </c>
      <c r="G22" s="36" t="n">
        <f aca="false">SUM(G16:G21)</f>
        <v>73493.8817177914</v>
      </c>
    </row>
    <row r="24" customFormat="false" ht="15" hidden="false" customHeight="false" outlineLevel="0" collapsed="false">
      <c r="A24" s="34" t="s">
        <v>344</v>
      </c>
      <c r="B24" s="35"/>
      <c r="C24" s="35"/>
      <c r="D24" s="35"/>
      <c r="E24" s="35"/>
      <c r="F24" s="36" t="n">
        <f aca="false">F13+F22</f>
        <v>15414.7933919717</v>
      </c>
      <c r="G24" s="36" t="n">
        <f aca="false">G13+G22</f>
        <v>284322.843529267</v>
      </c>
    </row>
    <row r="26" customFormat="false" ht="15" hidden="false" customHeight="false" outlineLevel="0" collapsed="false">
      <c r="A26" s="12" t="s">
        <v>345</v>
      </c>
    </row>
    <row r="27" customFormat="false" ht="15" hidden="false" customHeight="false" outlineLevel="0" collapsed="false">
      <c r="A27" s="13" t="s">
        <v>346</v>
      </c>
      <c r="B27" s="13" t="s">
        <v>347</v>
      </c>
      <c r="C27" s="37" t="n">
        <f aca="false">-(C4+C5+C6)</f>
        <v>-52</v>
      </c>
      <c r="D27" s="37" t="n">
        <f aca="false">-(D4+D5+D6)</f>
        <v>-1018</v>
      </c>
      <c r="E27" s="33" t="n">
        <f aca="false">Preços!$D$9</f>
        <v>8</v>
      </c>
      <c r="F27" s="27" t="n">
        <f aca="false">C27*E27</f>
        <v>-416</v>
      </c>
      <c r="G27" s="27" t="n">
        <f aca="false">D27*E27</f>
        <v>-8144</v>
      </c>
    </row>
    <row r="28" customFormat="false" ht="15" hidden="false" customHeight="false" outlineLevel="0" collapsed="false">
      <c r="A28" s="13" t="s">
        <v>348</v>
      </c>
      <c r="B28" s="13" t="s">
        <v>349</v>
      </c>
      <c r="C28" s="37" t="n">
        <f aca="false">C6</f>
        <v>3</v>
      </c>
      <c r="D28" s="37" t="n">
        <f aca="false">D6</f>
        <v>44</v>
      </c>
      <c r="E28" s="33" t="n">
        <f aca="false">(Preços!$D$8-Preços!$D$7)</f>
        <v>-4.97999999999999</v>
      </c>
      <c r="F28" s="27" t="n">
        <f aca="false">C28*E28</f>
        <v>-14.94</v>
      </c>
      <c r="G28" s="27" t="n">
        <f aca="false">D28*E28</f>
        <v>-219.12</v>
      </c>
    </row>
    <row r="29" customFormat="false" ht="15" hidden="false" customHeight="false" outlineLevel="0" collapsed="false">
      <c r="A29" s="13" t="s">
        <v>350</v>
      </c>
      <c r="B29" s="13" t="s">
        <v>325</v>
      </c>
      <c r="C29" s="37" t="n">
        <f aca="false">Estações!$O$44*Premissas!$B$22</f>
        <v>60</v>
      </c>
      <c r="D29" s="37" t="n">
        <f aca="false">Estações!$O$43*Premissas!$B$22</f>
        <v>1200</v>
      </c>
      <c r="E29" s="33" t="n">
        <f aca="false">Premissas!$B$23</f>
        <v>4.5</v>
      </c>
      <c r="F29" s="27" t="n">
        <f aca="false">C29*E29</f>
        <v>270</v>
      </c>
      <c r="G29" s="27" t="n">
        <f aca="false">D29*E29</f>
        <v>5400</v>
      </c>
    </row>
    <row r="30" customFormat="false" ht="15" hidden="false" customHeight="false" outlineLevel="0" collapsed="false">
      <c r="A30" s="34" t="s">
        <v>351</v>
      </c>
      <c r="B30" s="35"/>
      <c r="C30" s="35"/>
      <c r="D30" s="35"/>
      <c r="E30" s="35"/>
      <c r="F30" s="36" t="n">
        <f aca="false">F13+SUM(F27:F29)</f>
        <v>11507.5516741803</v>
      </c>
      <c r="G30" s="36" t="n">
        <f aca="false">G13+SUM(G27:G29)</f>
        <v>207865.841811475</v>
      </c>
    </row>
    <row r="32" customFormat="false" ht="15" hidden="false" customHeight="false" outlineLevel="0" collapsed="false">
      <c r="A32" s="12" t="s">
        <v>352</v>
      </c>
    </row>
    <row r="33" customFormat="false" ht="15" hidden="false" customHeight="false" outlineLevel="0" collapsed="false">
      <c r="A33" s="13" t="s">
        <v>353</v>
      </c>
      <c r="B33" s="13" t="s">
        <v>354</v>
      </c>
      <c r="C33" s="37" t="n">
        <f aca="false">ROUNDUP(Estações!$L$44*(1+Premissas!$B$14),0)</f>
        <v>53</v>
      </c>
      <c r="D33" s="37" t="n">
        <f aca="false">ROUNDUP(Estações!$L$43*(1+Premissas!$B$14),0)</f>
        <v>1087</v>
      </c>
      <c r="E33" s="33" t="n">
        <f aca="false">Preços!$D$22</f>
        <v>0.9</v>
      </c>
      <c r="F33" s="27" t="n">
        <f aca="false">C33*E33</f>
        <v>47.7</v>
      </c>
      <c r="G33" s="27" t="n">
        <f aca="false">D33*E33</f>
        <v>978.3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177</v>
      </c>
      <c r="B1" s="7" t="s">
        <v>306</v>
      </c>
      <c r="C1" s="7" t="s">
        <v>307</v>
      </c>
      <c r="D1" s="7" t="s">
        <v>308</v>
      </c>
      <c r="E1" s="7" t="s">
        <v>287</v>
      </c>
      <c r="F1" s="7" t="s">
        <v>309</v>
      </c>
      <c r="G1" s="7" t="s">
        <v>310</v>
      </c>
    </row>
    <row r="2" customFormat="false" ht="15" hidden="false" customHeight="false" outlineLevel="0" collapsed="false">
      <c r="A2" s="12" t="s">
        <v>355</v>
      </c>
    </row>
    <row r="3" customFormat="false" ht="15" hidden="false" customHeight="false" outlineLevel="0" collapsed="false">
      <c r="A3" s="9" t="s">
        <v>356</v>
      </c>
      <c r="B3" s="9" t="s">
        <v>313</v>
      </c>
      <c r="C3" s="37" t="n">
        <f aca="false">ROUNDUP(Estações!$F$44*(1+Premissas!$B$14),0)</f>
        <v>71</v>
      </c>
      <c r="D3" s="37" t="n">
        <f aca="false">ROUNDUP(Estações!$F$43*(1+Premissas!$B$14),0)</f>
        <v>1408</v>
      </c>
      <c r="E3" s="33" t="n">
        <f aca="false">Preços!$D$33+Preços!$D$14</f>
        <v>91.20623</v>
      </c>
      <c r="F3" s="27" t="n">
        <f aca="false">C3*E3</f>
        <v>6475.64233</v>
      </c>
      <c r="G3" s="27" t="n">
        <f aca="false">D3*E3</f>
        <v>128418.37184</v>
      </c>
    </row>
    <row r="4" customFormat="false" ht="15" hidden="false" customHeight="false" outlineLevel="0" collapsed="false">
      <c r="A4" s="9" t="s">
        <v>357</v>
      </c>
      <c r="B4" s="9" t="s">
        <v>317</v>
      </c>
      <c r="C4" s="37" t="n">
        <f aca="false">ROUNDUP(Estações!$M$44*(1+Premissas!$B$14),0)</f>
        <v>27</v>
      </c>
      <c r="D4" s="37" t="n">
        <f aca="false">ROUNDUP(Estações!$M$43*(1+Premissas!$B$14),0)</f>
        <v>534</v>
      </c>
      <c r="E4" s="33" t="n">
        <f aca="false">Preços!$D$34+Preços!$D$15+Preços!$D$10</f>
        <v>232.72634</v>
      </c>
      <c r="F4" s="27" t="n">
        <f aca="false">C4*E4</f>
        <v>6283.61118</v>
      </c>
      <c r="G4" s="27" t="n">
        <f aca="false">D4*E4</f>
        <v>124275.86556</v>
      </c>
    </row>
    <row r="5" customFormat="false" ht="15" hidden="false" customHeight="false" outlineLevel="0" collapsed="false">
      <c r="A5" s="9" t="s">
        <v>358</v>
      </c>
      <c r="B5" s="9" t="s">
        <v>359</v>
      </c>
      <c r="C5" s="37" t="n">
        <f aca="false">ROUNDUP(Estações!$O$44*(1+Premissas!$B$14),0)</f>
        <v>3</v>
      </c>
      <c r="D5" s="37" t="n">
        <f aca="false">ROUNDUP(Estações!$O$43*(1+Premissas!$B$14),0)</f>
        <v>44</v>
      </c>
      <c r="E5" s="33" t="n">
        <f aca="false">Preços!$D$35+Preços!$D$7+Preços!$D$17+Preços!$D$18</f>
        <v>660.22645</v>
      </c>
      <c r="F5" s="27" t="n">
        <f aca="false">C5*E5</f>
        <v>1980.67935</v>
      </c>
      <c r="G5" s="27" t="n">
        <f aca="false">D5*E5</f>
        <v>29049.9638</v>
      </c>
    </row>
    <row r="6" customFormat="false" ht="15" hidden="false" customHeight="false" outlineLevel="0" collapsed="false">
      <c r="A6" s="9" t="s">
        <v>360</v>
      </c>
      <c r="B6" s="9" t="s">
        <v>361</v>
      </c>
      <c r="C6" s="37" t="n">
        <f aca="false">(Estações!$F$44+Estações!$M$44)*Premissas!$B$15</f>
        <v>264</v>
      </c>
      <c r="D6" s="37" t="n">
        <f aca="false">(Estações!$F$43+Estações!$M$43)*Premissas!$B$15</f>
        <v>5295</v>
      </c>
      <c r="E6" s="33" t="n">
        <f aca="false">Preços!$D$13+2*Preços!$D$12/Premissas!$B$15</f>
        <v>4.56418579234973</v>
      </c>
      <c r="F6" s="27" t="n">
        <f aca="false">C6*E6</f>
        <v>1204.94504918033</v>
      </c>
      <c r="G6" s="27" t="n">
        <f aca="false">D6*E6</f>
        <v>24167.3637704918</v>
      </c>
    </row>
    <row r="7" customFormat="false" ht="15" hidden="false" customHeight="false" outlineLevel="0" collapsed="false">
      <c r="A7" s="9" t="s">
        <v>362</v>
      </c>
      <c r="B7" s="9" t="s">
        <v>363</v>
      </c>
      <c r="C7" s="39" t="n">
        <v>1</v>
      </c>
      <c r="D7" s="39" t="n">
        <v>1</v>
      </c>
      <c r="E7" s="13"/>
      <c r="F7" s="33" t="n">
        <f aca="false">SUM('A-Interno'!F9:F12)</f>
        <v>1684.40524590164</v>
      </c>
      <c r="G7" s="33" t="n">
        <f aca="false">SUM('A-Interno'!G9:G12)</f>
        <v>19840.3449180328</v>
      </c>
    </row>
    <row r="8" customFormat="false" ht="15" hidden="false" customHeight="false" outlineLevel="0" collapsed="false">
      <c r="A8" s="9" t="s">
        <v>364</v>
      </c>
      <c r="B8" s="9" t="s">
        <v>365</v>
      </c>
      <c r="C8" s="39" t="n">
        <v>1</v>
      </c>
      <c r="D8" s="39" t="n">
        <v>1</v>
      </c>
      <c r="E8" s="33" t="n">
        <f aca="false">Preços!$D$36</f>
        <v>15000</v>
      </c>
      <c r="F8" s="27" t="n">
        <f aca="false">C8*E8</f>
        <v>15000</v>
      </c>
      <c r="G8" s="27" t="n">
        <f aca="false">D8*E8</f>
        <v>15000</v>
      </c>
    </row>
    <row r="9" customFormat="false" ht="15" hidden="false" customHeight="false" outlineLevel="0" collapsed="false">
      <c r="A9" s="9" t="s">
        <v>366</v>
      </c>
      <c r="B9" s="9" t="s">
        <v>367</v>
      </c>
      <c r="C9" s="37" t="n">
        <f aca="false">Estações!$O$44*(Premissas!$B$12+Premissas!$B$13)</f>
        <v>40</v>
      </c>
      <c r="D9" s="37" t="n">
        <f aca="false">Estações!$O$43*(Premissas!$B$12+Premissas!$B$13)</f>
        <v>800</v>
      </c>
      <c r="E9" s="33" t="n">
        <f aca="false">Premissas!$B$7</f>
        <v>34.9305521472393</v>
      </c>
      <c r="F9" s="27" t="n">
        <f aca="false">C9*E9</f>
        <v>1397.22208588957</v>
      </c>
      <c r="G9" s="27" t="n">
        <f aca="false">D9*E9</f>
        <v>27944.4417177914</v>
      </c>
    </row>
    <row r="10" customFormat="false" ht="15" hidden="false" customHeight="false" outlineLevel="0" collapsed="false">
      <c r="A10" s="34" t="s">
        <v>368</v>
      </c>
      <c r="B10" s="35"/>
      <c r="C10" s="35"/>
      <c r="D10" s="35"/>
      <c r="E10" s="35"/>
      <c r="F10" s="36" t="n">
        <f aca="false">SUM(F3:F9)</f>
        <v>34026.5052409715</v>
      </c>
      <c r="G10" s="36" t="n">
        <f aca="false">SUM(G3:G9)</f>
        <v>368696.351606316</v>
      </c>
    </row>
    <row r="12" customFormat="false" ht="15" hidden="false" customHeight="false" outlineLevel="0" collapsed="false">
      <c r="A12" s="12" t="s">
        <v>369</v>
      </c>
    </row>
    <row r="13" customFormat="false" ht="15" hidden="false" customHeight="false" outlineLevel="0" collapsed="false">
      <c r="A13" s="9" t="s">
        <v>370</v>
      </c>
      <c r="B13" s="9" t="s">
        <v>371</v>
      </c>
      <c r="C13" s="37" t="n">
        <f aca="false">ROUNDUP(Estações!$F$44*(1+Premissas!$B$14),0)</f>
        <v>71</v>
      </c>
      <c r="D13" s="37" t="n">
        <f aca="false">ROUNDUP(Estações!$F$43*(1+Premissas!$B$14),0)</f>
        <v>1408</v>
      </c>
      <c r="E13" s="33" t="n">
        <f aca="false">Preços!$D$30</f>
        <v>287.3541</v>
      </c>
      <c r="F13" s="27" t="n">
        <f aca="false">C13*E13</f>
        <v>20402.1411</v>
      </c>
      <c r="G13" s="27" t="n">
        <f aca="false">D13*E13</f>
        <v>404594.5728</v>
      </c>
    </row>
    <row r="14" customFormat="false" ht="15" hidden="false" customHeight="false" outlineLevel="0" collapsed="false">
      <c r="A14" s="9" t="s">
        <v>372</v>
      </c>
      <c r="B14" s="9" t="s">
        <v>317</v>
      </c>
      <c r="C14" s="37" t="n">
        <f aca="false">ROUNDUP(Estações!$M$44*(1+Premissas!$B$14),0)</f>
        <v>27</v>
      </c>
      <c r="D14" s="37" t="n">
        <f aca="false">ROUNDUP(Estações!$M$43*(1+Premissas!$B$14),0)</f>
        <v>534</v>
      </c>
      <c r="E14" s="33" t="n">
        <f aca="false">Preços!$D$31</f>
        <v>622.60055</v>
      </c>
      <c r="F14" s="27" t="n">
        <f aca="false">C14*E14</f>
        <v>16810.21485</v>
      </c>
      <c r="G14" s="27" t="n">
        <f aca="false">D14*E14</f>
        <v>332468.6937</v>
      </c>
    </row>
    <row r="15" customFormat="false" ht="15" hidden="false" customHeight="false" outlineLevel="0" collapsed="false">
      <c r="A15" s="9" t="s">
        <v>373</v>
      </c>
      <c r="B15" s="9" t="s">
        <v>95</v>
      </c>
      <c r="C15" s="37" t="n">
        <f aca="false">Estações!$O$44</f>
        <v>2</v>
      </c>
      <c r="D15" s="37" t="n">
        <f aca="false">Estações!$O$43</f>
        <v>40</v>
      </c>
      <c r="E15" s="33" t="n">
        <f aca="false">Preços!$D$32</f>
        <v>2107.2634</v>
      </c>
      <c r="F15" s="27" t="n">
        <f aca="false">C15*E15</f>
        <v>4214.5268</v>
      </c>
      <c r="G15" s="27" t="n">
        <f aca="false">D15*E15</f>
        <v>84290.536</v>
      </c>
    </row>
    <row r="16" customFormat="false" ht="15" hidden="false" customHeight="false" outlineLevel="0" collapsed="false">
      <c r="A16" s="9" t="s">
        <v>374</v>
      </c>
      <c r="B16" s="9" t="s">
        <v>95</v>
      </c>
      <c r="C16" s="37" t="n">
        <f aca="false">Estações!$O$44</f>
        <v>2</v>
      </c>
      <c r="D16" s="37" t="n">
        <f aca="false">Estações!$O$43</f>
        <v>40</v>
      </c>
      <c r="E16" s="33" t="n">
        <f aca="false">Preços!$D$7+Preços!$D$17+Preços!$D$18</f>
        <v>324.98</v>
      </c>
      <c r="F16" s="27" t="n">
        <f aca="false">C16*E16</f>
        <v>649.96</v>
      </c>
      <c r="G16" s="27" t="n">
        <f aca="false">D16*E16</f>
        <v>12999.2</v>
      </c>
    </row>
    <row r="17" customFormat="false" ht="15" hidden="false" customHeight="false" outlineLevel="0" collapsed="false">
      <c r="A17" s="9" t="s">
        <v>360</v>
      </c>
      <c r="B17" s="9" t="s">
        <v>375</v>
      </c>
      <c r="C17" s="37" t="n">
        <f aca="false">(Estações!$F$44+Estações!$M$44)*Premissas!$B$15</f>
        <v>264</v>
      </c>
      <c r="D17" s="37" t="n">
        <f aca="false">(Estações!$F$43+Estações!$M$43)*Premissas!$B$15</f>
        <v>5295</v>
      </c>
      <c r="E17" s="33" t="n">
        <f aca="false">Preços!$D$13+2*Preços!$D$12/Premissas!$B$15</f>
        <v>4.56418579234973</v>
      </c>
      <c r="F17" s="27" t="n">
        <f aca="false">C17*E17</f>
        <v>1204.94504918033</v>
      </c>
      <c r="G17" s="27" t="n">
        <f aca="false">D17*E17</f>
        <v>24167.3637704918</v>
      </c>
    </row>
    <row r="18" customFormat="false" ht="15" hidden="false" customHeight="false" outlineLevel="0" collapsed="false">
      <c r="A18" s="9" t="s">
        <v>362</v>
      </c>
      <c r="B18" s="9" t="s">
        <v>363</v>
      </c>
      <c r="C18" s="39" t="n">
        <v>1</v>
      </c>
      <c r="D18" s="39" t="n">
        <v>1</v>
      </c>
      <c r="E18" s="13"/>
      <c r="F18" s="33" t="n">
        <f aca="false">SUM('A-Interno'!F9:F12)</f>
        <v>1684.40524590164</v>
      </c>
      <c r="G18" s="33" t="n">
        <f aca="false">SUM('A-Interno'!G9:G12)</f>
        <v>19840.3449180328</v>
      </c>
    </row>
    <row r="19" customFormat="false" ht="15" hidden="false" customHeight="false" outlineLevel="0" collapsed="false">
      <c r="A19" s="9" t="s">
        <v>366</v>
      </c>
      <c r="B19" s="9" t="s">
        <v>367</v>
      </c>
      <c r="C19" s="37" t="n">
        <f aca="false">Estações!$O$44*(Premissas!$B$12+Premissas!$B$13)</f>
        <v>40</v>
      </c>
      <c r="D19" s="37" t="n">
        <f aca="false">Estações!$O$43*(Premissas!$B$12+Premissas!$B$13)</f>
        <v>800</v>
      </c>
      <c r="E19" s="33" t="n">
        <f aca="false">Premissas!$B$7</f>
        <v>34.9305521472393</v>
      </c>
      <c r="F19" s="27" t="n">
        <f aca="false">C19*E19</f>
        <v>1397.22208588957</v>
      </c>
      <c r="G19" s="27" t="n">
        <f aca="false">D19*E19</f>
        <v>27944.4417177914</v>
      </c>
    </row>
    <row r="20" customFormat="false" ht="15" hidden="false" customHeight="false" outlineLevel="0" collapsed="false">
      <c r="A20" s="34" t="s">
        <v>376</v>
      </c>
      <c r="B20" s="35"/>
      <c r="C20" s="35"/>
      <c r="D20" s="35"/>
      <c r="E20" s="35"/>
      <c r="F20" s="36" t="n">
        <f aca="false">SUM(F13:F19)</f>
        <v>46363.4151309715</v>
      </c>
      <c r="G20" s="36" t="n">
        <f aca="false">SUM(G13:G19)</f>
        <v>906305.152906316</v>
      </c>
    </row>
    <row r="22" customFormat="false" ht="15" hidden="false" customHeight="false" outlineLevel="0" collapsed="false">
      <c r="A22" s="6" t="s">
        <v>377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177</v>
      </c>
      <c r="B1" s="7" t="s">
        <v>306</v>
      </c>
      <c r="C1" s="7" t="s">
        <v>307</v>
      </c>
      <c r="D1" s="7" t="s">
        <v>308</v>
      </c>
      <c r="E1" s="7" t="s">
        <v>287</v>
      </c>
      <c r="F1" s="7" t="s">
        <v>309</v>
      </c>
      <c r="G1" s="7" t="s">
        <v>310</v>
      </c>
    </row>
    <row r="2" customFormat="false" ht="15" hidden="false" customHeight="false" outlineLevel="0" collapsed="false">
      <c r="A2" s="12" t="s">
        <v>378</v>
      </c>
    </row>
    <row r="3" customFormat="false" ht="15" hidden="false" customHeight="false" outlineLevel="0" collapsed="false">
      <c r="A3" s="13" t="s">
        <v>379</v>
      </c>
      <c r="B3" s="13" t="s">
        <v>380</v>
      </c>
      <c r="C3" s="13"/>
      <c r="D3" s="13"/>
      <c r="E3" s="13"/>
      <c r="F3" s="33" t="n">
        <f aca="false">'A-Interno'!F24</f>
        <v>15414.7933919717</v>
      </c>
      <c r="G3" s="33" t="n">
        <f aca="false">'A-Interno'!G24</f>
        <v>284322.843529267</v>
      </c>
    </row>
    <row r="4" customFormat="false" ht="15" hidden="false" customHeight="false" outlineLevel="0" collapsed="false">
      <c r="A4" s="13" t="s">
        <v>381</v>
      </c>
      <c r="B4" s="13" t="s">
        <v>382</v>
      </c>
      <c r="C4" s="37" t="n">
        <f aca="false">ROUNDUP(Premissas!$B$19*Estações!$O$44/Estações!$O$43,0)</f>
        <v>250</v>
      </c>
      <c r="D4" s="40" t="n">
        <f aca="false">Premissas!$B$19</f>
        <v>5000</v>
      </c>
      <c r="E4" s="33" t="n">
        <f aca="false">Composição!$F$62</f>
        <v>2.87</v>
      </c>
      <c r="F4" s="27" t="n">
        <f aca="false">C4*E4</f>
        <v>717.5</v>
      </c>
      <c r="G4" s="27" t="n">
        <f aca="false">D4*E4</f>
        <v>14350</v>
      </c>
    </row>
    <row r="5" customFormat="false" ht="15" hidden="false" customHeight="false" outlineLevel="0" collapsed="false">
      <c r="A5" s="13" t="s">
        <v>383</v>
      </c>
      <c r="B5" s="13" t="s">
        <v>384</v>
      </c>
      <c r="C5" s="17" t="n">
        <f aca="false">C4*30/3600</f>
        <v>2.08333333333333</v>
      </c>
      <c r="D5" s="17" t="n">
        <f aca="false">D4*30/3600</f>
        <v>41.6666666666667</v>
      </c>
      <c r="E5" s="33" t="n">
        <f aca="false">Premissas!$B$7</f>
        <v>34.9305521472393</v>
      </c>
      <c r="F5" s="27" t="n">
        <f aca="false">C5*E5</f>
        <v>72.7719836400818</v>
      </c>
      <c r="G5" s="27" t="n">
        <f aca="false">D5*E5</f>
        <v>1455.43967280164</v>
      </c>
    </row>
    <row r="7" customFormat="false" ht="15" hidden="false" customHeight="false" outlineLevel="0" collapsed="false">
      <c r="A7" s="12" t="s">
        <v>385</v>
      </c>
    </row>
    <row r="8" customFormat="false" ht="15" hidden="false" customHeight="false" outlineLevel="0" collapsed="false">
      <c r="A8" s="13" t="s">
        <v>386</v>
      </c>
      <c r="B8" s="13" t="s">
        <v>387</v>
      </c>
      <c r="C8" s="37" t="n">
        <f aca="false">ROUNDUP(Estações!$O$44*Premissas!$B$20,0)</f>
        <v>3</v>
      </c>
      <c r="D8" s="37" t="n">
        <f aca="false">ROUNDUP(Estações!$O$43*Premissas!$B$20,0)</f>
        <v>48</v>
      </c>
      <c r="E8" s="33" t="n">
        <f aca="false">Composição!$F$50</f>
        <v>127.54</v>
      </c>
      <c r="F8" s="27" t="n">
        <f aca="false">C8*E8</f>
        <v>382.62</v>
      </c>
      <c r="G8" s="27" t="n">
        <f aca="false">D8*E8</f>
        <v>6121.92</v>
      </c>
    </row>
    <row r="9" customFormat="false" ht="15" hidden="false" customHeight="false" outlineLevel="0" collapsed="false">
      <c r="A9" s="13" t="s">
        <v>388</v>
      </c>
      <c r="B9" s="13" t="s">
        <v>389</v>
      </c>
      <c r="C9" s="17" t="n">
        <f aca="false">C8*1.5</f>
        <v>4.5</v>
      </c>
      <c r="D9" s="17" t="n">
        <f aca="false">D8*1.5</f>
        <v>72</v>
      </c>
      <c r="E9" s="33" t="n">
        <f aca="false">Premissas!$B$7</f>
        <v>34.9305521472393</v>
      </c>
      <c r="F9" s="27" t="n">
        <f aca="false">C9*E9</f>
        <v>157.187484662577</v>
      </c>
      <c r="G9" s="27" t="n">
        <f aca="false">D9*E9</f>
        <v>2514.99975460123</v>
      </c>
    </row>
    <row r="10" customFormat="false" ht="15" hidden="false" customHeight="false" outlineLevel="0" collapsed="false">
      <c r="A10" s="34" t="s">
        <v>390</v>
      </c>
      <c r="B10" s="35"/>
      <c r="C10" s="35"/>
      <c r="D10" s="35"/>
      <c r="E10" s="35"/>
      <c r="F10" s="36" t="n">
        <f aca="false">F3+F4+F5+F8+F9</f>
        <v>16744.8728602744</v>
      </c>
      <c r="G10" s="36" t="n">
        <f aca="false">G3+G4+G5+G8+G9</f>
        <v>308765.20295667</v>
      </c>
    </row>
    <row r="12" customFormat="false" ht="15" hidden="false" customHeight="false" outlineLevel="0" collapsed="false">
      <c r="A12" s="12" t="s">
        <v>391</v>
      </c>
    </row>
    <row r="13" customFormat="false" ht="15" hidden="false" customHeight="false" outlineLevel="0" collapsed="false">
      <c r="A13" s="13" t="s">
        <v>392</v>
      </c>
      <c r="B13" s="13" t="s">
        <v>393</v>
      </c>
      <c r="C13" s="37" t="n">
        <f aca="false">Estações!$O$44</f>
        <v>2</v>
      </c>
      <c r="D13" s="37" t="n">
        <f aca="false">Estações!$O$43</f>
        <v>40</v>
      </c>
      <c r="E13" s="33" t="n">
        <f aca="false">Composição!$F$58</f>
        <v>121.404262295082</v>
      </c>
      <c r="F13" s="27" t="n">
        <f aca="false">C13*E13</f>
        <v>242.808524590164</v>
      </c>
      <c r="G13" s="27" t="n">
        <f aca="false">D13*E13</f>
        <v>4856.17049180328</v>
      </c>
    </row>
    <row r="14" customFormat="false" ht="15" hidden="false" customHeight="false" outlineLevel="0" collapsed="false">
      <c r="A14" s="13" t="s">
        <v>394</v>
      </c>
      <c r="B14" s="13" t="s">
        <v>395</v>
      </c>
      <c r="C14" s="17" t="n">
        <f aca="false">C13*2</f>
        <v>4</v>
      </c>
      <c r="D14" s="17" t="n">
        <f aca="false">D13*2</f>
        <v>80</v>
      </c>
      <c r="E14" s="33" t="n">
        <f aca="false">Premissas!$B$7</f>
        <v>34.9305521472393</v>
      </c>
      <c r="F14" s="27" t="n">
        <f aca="false">C14*E14</f>
        <v>139.722208588957</v>
      </c>
      <c r="G14" s="27" t="n">
        <f aca="false">D14*E14</f>
        <v>2794.44417177914</v>
      </c>
    </row>
    <row r="15" customFormat="false" ht="15" hidden="false" customHeight="false" outlineLevel="0" collapsed="false">
      <c r="A15" s="34" t="s">
        <v>396</v>
      </c>
      <c r="B15" s="35"/>
      <c r="C15" s="35"/>
      <c r="D15" s="35"/>
      <c r="E15" s="35"/>
      <c r="F15" s="36" t="n">
        <f aca="false">F3+F4+F5+F13+F14</f>
        <v>16587.5961087909</v>
      </c>
      <c r="G15" s="36" t="n">
        <f aca="false">G3+G4+G5+G13+G14</f>
        <v>307778.897865651</v>
      </c>
    </row>
    <row r="17" customFormat="false" ht="15" hidden="false" customHeight="false" outlineLevel="0" collapsed="false">
      <c r="A17" s="13" t="s">
        <v>397</v>
      </c>
      <c r="B17" s="13" t="s">
        <v>398</v>
      </c>
      <c r="C17" s="37" t="n">
        <f aca="false">C8</f>
        <v>3</v>
      </c>
      <c r="D17" s="37" t="n">
        <f aca="false">D8</f>
        <v>48</v>
      </c>
      <c r="E17" s="33" t="n">
        <f aca="false">Preços!$D$37</f>
        <v>9549.73459</v>
      </c>
      <c r="F17" s="27" t="n">
        <f aca="false">C17*E17</f>
        <v>28649.20377</v>
      </c>
      <c r="G17" s="27" t="n">
        <f aca="false">D17*E17</f>
        <v>458387.26032</v>
      </c>
    </row>
    <row r="19" customFormat="false" ht="15" hidden="false" customHeight="false" outlineLevel="0" collapsed="false">
      <c r="A19" s="6" t="s">
        <v>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70"/>
  </cols>
  <sheetData>
    <row r="1" customFormat="false" ht="31.5" hidden="false" customHeight="true" outlineLevel="0" collapsed="false">
      <c r="A1" s="7" t="s">
        <v>400</v>
      </c>
      <c r="B1" s="7" t="s">
        <v>401</v>
      </c>
      <c r="C1" s="7" t="s">
        <v>402</v>
      </c>
      <c r="D1" s="7" t="s">
        <v>403</v>
      </c>
      <c r="E1" s="7" t="s">
        <v>404</v>
      </c>
    </row>
    <row r="2" customFormat="false" ht="23.85" hidden="false" customHeight="false" outlineLevel="0" collapsed="false">
      <c r="A2" s="9" t="s">
        <v>405</v>
      </c>
      <c r="B2" s="13" t="s">
        <v>406</v>
      </c>
      <c r="C2" s="16" t="n">
        <v>240</v>
      </c>
      <c r="D2" s="11" t="n">
        <f aca="false">C2*Premissas!$B$21</f>
        <v>14400</v>
      </c>
      <c r="E2" s="9" t="s">
        <v>407</v>
      </c>
    </row>
    <row r="3" customFormat="false" ht="23.85" hidden="false" customHeight="false" outlineLevel="0" collapsed="false">
      <c r="A3" s="9" t="s">
        <v>408</v>
      </c>
      <c r="B3" s="13" t="s">
        <v>406</v>
      </c>
      <c r="C3" s="16" t="n">
        <v>120</v>
      </c>
      <c r="D3" s="11" t="n">
        <f aca="false">C3*Premissas!$B$21</f>
        <v>7200</v>
      </c>
      <c r="E3" s="9" t="s">
        <v>409</v>
      </c>
    </row>
    <row r="4" customFormat="false" ht="15" hidden="false" customHeight="false" outlineLevel="0" collapsed="false">
      <c r="A4" s="9" t="s">
        <v>410</v>
      </c>
      <c r="B4" s="13" t="s">
        <v>406</v>
      </c>
      <c r="C4" s="16" t="n">
        <v>60</v>
      </c>
      <c r="D4" s="11" t="n">
        <f aca="false">C4*Premissas!$B$21</f>
        <v>3600</v>
      </c>
      <c r="E4" s="9" t="s">
        <v>411</v>
      </c>
    </row>
    <row r="5" customFormat="false" ht="15" hidden="false" customHeight="false" outlineLevel="0" collapsed="false">
      <c r="A5" s="9" t="s">
        <v>412</v>
      </c>
      <c r="B5" s="13" t="s">
        <v>413</v>
      </c>
      <c r="C5" s="16" t="n">
        <v>160</v>
      </c>
      <c r="D5" s="11" t="n">
        <f aca="false">C5*Premissas!$B$21</f>
        <v>9600</v>
      </c>
      <c r="E5" s="9" t="s">
        <v>414</v>
      </c>
    </row>
    <row r="6" customFormat="false" ht="15" hidden="false" customHeight="false" outlineLevel="0" collapsed="false">
      <c r="A6" s="9" t="s">
        <v>415</v>
      </c>
      <c r="B6" s="13" t="s">
        <v>413</v>
      </c>
      <c r="C6" s="16" t="n">
        <v>80</v>
      </c>
      <c r="D6" s="11" t="n">
        <f aca="false">C6*Premissas!$B$21</f>
        <v>4800</v>
      </c>
      <c r="E6" s="9" t="s">
        <v>416</v>
      </c>
    </row>
    <row r="7" customFormat="false" ht="23.85" hidden="false" customHeight="false" outlineLevel="0" collapsed="false">
      <c r="A7" s="9" t="s">
        <v>417</v>
      </c>
      <c r="B7" s="13" t="s">
        <v>406</v>
      </c>
      <c r="C7" s="16" t="n">
        <v>120</v>
      </c>
      <c r="D7" s="11" t="n">
        <f aca="false">C7*Premissas!$B$21</f>
        <v>7200</v>
      </c>
      <c r="E7" s="9" t="s">
        <v>418</v>
      </c>
    </row>
    <row r="8" customFormat="false" ht="15" hidden="false" customHeight="false" outlineLevel="0" collapsed="false">
      <c r="A8" s="9" t="s">
        <v>419</v>
      </c>
      <c r="B8" s="13" t="s">
        <v>406</v>
      </c>
      <c r="C8" s="16" t="n">
        <v>100</v>
      </c>
      <c r="D8" s="11" t="n">
        <f aca="false">C8*Premissas!$B$21</f>
        <v>6000</v>
      </c>
      <c r="E8" s="9" t="s">
        <v>420</v>
      </c>
    </row>
    <row r="9" customFormat="false" ht="23.85" hidden="false" customHeight="false" outlineLevel="0" collapsed="false">
      <c r="A9" s="9" t="s">
        <v>421</v>
      </c>
      <c r="B9" s="13" t="s">
        <v>422</v>
      </c>
      <c r="C9" s="16" t="n">
        <v>80</v>
      </c>
      <c r="D9" s="11" t="n">
        <f aca="false">C9*Premissas!$B$21</f>
        <v>4800</v>
      </c>
      <c r="E9" s="9" t="s">
        <v>423</v>
      </c>
    </row>
    <row r="10" customFormat="false" ht="15" hidden="false" customHeight="false" outlineLevel="0" collapsed="false">
      <c r="A10" s="9" t="s">
        <v>424</v>
      </c>
      <c r="B10" s="13" t="s">
        <v>406</v>
      </c>
      <c r="C10" s="16" t="n">
        <v>120</v>
      </c>
      <c r="D10" s="11" t="n">
        <f aca="false">C10*Premissas!$B$21</f>
        <v>7200</v>
      </c>
      <c r="E10" s="9" t="s">
        <v>425</v>
      </c>
    </row>
    <row r="11" customFormat="false" ht="15" hidden="false" customHeight="false" outlineLevel="0" collapsed="false">
      <c r="A11" s="9" t="s">
        <v>426</v>
      </c>
      <c r="B11" s="13" t="s">
        <v>406</v>
      </c>
      <c r="C11" s="16" t="n">
        <v>120</v>
      </c>
      <c r="D11" s="11" t="n">
        <f aca="false">C11*Premissas!$B$21</f>
        <v>7200</v>
      </c>
      <c r="E11" s="9" t="s">
        <v>427</v>
      </c>
    </row>
    <row r="12" customFormat="false" ht="15" hidden="false" customHeight="false" outlineLevel="0" collapsed="false">
      <c r="A12" s="9" t="s">
        <v>428</v>
      </c>
      <c r="B12" s="13" t="s">
        <v>406</v>
      </c>
      <c r="C12" s="16" t="n">
        <v>40</v>
      </c>
      <c r="D12" s="11" t="n">
        <f aca="false">C12*Premissas!$B$21</f>
        <v>2400</v>
      </c>
      <c r="E12" s="9" t="s">
        <v>429</v>
      </c>
    </row>
    <row r="13" customFormat="false" ht="15" hidden="false" customHeight="false" outlineLevel="0" collapsed="false">
      <c r="A13" s="34" t="s">
        <v>430</v>
      </c>
      <c r="B13" s="35"/>
      <c r="C13" s="41" t="n">
        <f aca="false">SUMIF(B2:B12,"A e B",C2:C12)+C5</f>
        <v>1080</v>
      </c>
      <c r="D13" s="42" t="n">
        <f aca="false">C13*Premissas!$B$21</f>
        <v>64800</v>
      </c>
      <c r="E13" s="43" t="s">
        <v>431</v>
      </c>
    </row>
    <row r="14" customFormat="false" ht="15" hidden="false" customHeight="false" outlineLevel="0" collapsed="false">
      <c r="A14" s="34" t="s">
        <v>432</v>
      </c>
      <c r="B14" s="35"/>
      <c r="C14" s="41" t="n">
        <f aca="false">SUMIF(B2:B12,"A e B",C2:C12)+SUMIF(B2:B12,"B",C2:C12)</f>
        <v>1000</v>
      </c>
      <c r="D14" s="42" t="n">
        <f aca="false">C14*Premissas!$B$21</f>
        <v>60000</v>
      </c>
      <c r="E14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2026-10-26T09:39:38Z</dcterms:created>
  <dc:creator>openpyxl</dc:creator>
  <dc:description/>
  <dc:language>en-US</dc:language>
  <cp:lastModifiedBy/>
  <dcterms:modified xsi:type="dcterms:W3CDTF">2026-10-26T09:39:38Z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