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remissas" sheetId="2" state="visible" r:id="rId4"/>
    <sheet name="Estações" sheetId="3" state="visible" r:id="rId5"/>
    <sheet name="Projeto" sheetId="4" state="visible" r:id="rId6"/>
    <sheet name="RFID futur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<sst xmlns="http://schemas.openxmlformats.org/spreadsheetml/2006/main" count="304" uniqueCount="236">
  <si>
    <t xml:space="preserve">Pick-to-Light: projeto inteiro feito pela equipe interna</t>
  </si>
  <si>
    <t xml:space="preserve">40 estações: Medicamento (ruas 03 a 22, Asi 3) e Perfumaria (ruas 26 a 45, Asi 1). Arquitetura A 12 V com confirmação pelo coletor. Valores em reais, preços de mercado de outubro de 2026. Software não incluído.</t>
  </si>
  <si>
    <t xml:space="preserve">Item</t>
  </si>
  <si>
    <t xml:space="preserve">Valor (R$)</t>
  </si>
  <si>
    <t xml:space="preserve">Observação</t>
  </si>
  <si>
    <t xml:space="preserve">Materiais e infraestrutura</t>
  </si>
  <si>
    <t xml:space="preserve">módulos, nós, concentradores, cabos, rede, energia, frete</t>
  </si>
  <si>
    <t xml:space="preserve">Mão de obra interna e treinamento</t>
  </si>
  <si>
    <t xml:space="preserve">montagem, instalação, comissionamento e treinamento</t>
  </si>
  <si>
    <t xml:space="preserve">Total do projeto</t>
  </si>
  <si>
    <t xml:space="preserve">Contingência</t>
  </si>
  <si>
    <t xml:space="preserve">percentual na aba Premissas</t>
  </si>
  <si>
    <t xml:space="preserve">TOTAL COM CONTINGÊNCIA</t>
  </si>
  <si>
    <t xml:space="preserve">valor para aprovação</t>
  </si>
  <si>
    <t xml:space="preserve">Por estação (com contingência)</t>
  </si>
  <si>
    <t xml:space="preserve">Projeção futura: RFID (não incluído no total acima)</t>
  </si>
  <si>
    <t xml:space="preserve">Implantação do RFID nas 40 estações (com contingência)</t>
  </si>
  <si>
    <t xml:space="preserve">tags nas caixas, pulseiras, carregadores e montagem</t>
  </si>
  <si>
    <t xml:space="preserve">Tempo de operador liberado por mês</t>
  </si>
  <si>
    <t xml:space="preserve">premissa de tempo por leitura a medir na POC</t>
  </si>
  <si>
    <t xml:space="preserve">Valor do tempo liberado por mês</t>
  </si>
  <si>
    <t xml:space="preserve">Retorno do investimento no RFID</t>
  </si>
  <si>
    <t xml:space="preserve">detalhe por etapa na aba RFID futuro</t>
  </si>
  <si>
    <t xml:space="preserve">Quantidades principais</t>
  </si>
  <si>
    <t xml:space="preserve">Módulos Q (com reserva)</t>
  </si>
  <si>
    <t xml:space="preserve">Nós de coluna (com reserva)</t>
  </si>
  <si>
    <t xml:space="preserve">Módulos E+Q (com reserva)</t>
  </si>
  <si>
    <t xml:space="preserve">Concentradores (com reserva)</t>
  </si>
  <si>
    <t xml:space="preserve">Horas de mão de obra interna</t>
  </si>
  <si>
    <t xml:space="preserve">Abas: Projeto (itens e mão de obra) · RFID futuro (custo, etapas, ganho e retorno) · Estações (dados das 40 estações) · Premissas (entradas em azul).</t>
  </si>
  <si>
    <t xml:space="preserve">Premissas</t>
  </si>
  <si>
    <t xml:space="preserve">Entradas em azul; fundo amarelo = premissas principais. Valores do orçamento completo (Orcamento_PTL.xlsx), fontes na coluna D. Alterar aqui recalcula as outras abas.</t>
  </si>
  <si>
    <t xml:space="preserve">Premissa</t>
  </si>
  <si>
    <t xml:space="preserve">Valor</t>
  </si>
  <si>
    <t xml:space="preserve">Unidade</t>
  </si>
  <si>
    <t xml:space="preserve">Fonte / observação</t>
  </si>
  <si>
    <t xml:space="preserve">Custos e percentuais</t>
  </si>
  <si>
    <t xml:space="preserve">Custo-hora da equipe interna (técnico)</t>
  </si>
  <si>
    <t xml:space="preserve">R$/h</t>
  </si>
  <si>
    <t xml:space="preserve">salário médio de técnico eletrônico (salario.com.br, CAGED 08/10/2026) × 2 de encargos ÷ 163 h</t>
  </si>
  <si>
    <t xml:space="preserve">Custo-hora do operador da estação</t>
  </si>
  <si>
    <t xml:space="preserve">salário médio de auxiliar de logística (salario.com.br, CAGED 08/10/2026) × 2 de encargos ÷ 163 h</t>
  </si>
  <si>
    <t xml:space="preserve">Frete das compras</t>
  </si>
  <si>
    <t xml:space="preserve">%</t>
  </si>
  <si>
    <t xml:space="preserve">estimativa sobre peças e infraestrutura</t>
  </si>
  <si>
    <t xml:space="preserve">Contingência do projeto</t>
  </si>
  <si>
    <t xml:space="preserve">imprevistos de instalação e variação de preço</t>
  </si>
  <si>
    <t xml:space="preserve">RFID (melhoria futura): implantação</t>
  </si>
  <si>
    <t xml:space="preserve">Frota de caixas retornáveis</t>
  </si>
  <si>
    <t xml:space="preserve">caixas</t>
  </si>
  <si>
    <t xml:space="preserve">estimativa: ~1,7 × 3.000 volumes/dia. CONFIRMAR com a operação</t>
  </si>
  <si>
    <t xml:space="preserve">Tag NFC por caixa</t>
  </si>
  <si>
    <t xml:space="preserve">R$/un</t>
  </si>
  <si>
    <t xml:space="preserve">orçamento completo, aba RFID-futuro</t>
  </si>
  <si>
    <t xml:space="preserve">Associação tag ↔ caixa (cadastro inicial)</t>
  </si>
  <si>
    <t xml:space="preserve">s/caixa</t>
  </si>
  <si>
    <t xml:space="preserve">estimativa</t>
  </si>
  <si>
    <t xml:space="preserve">Pulseiras por estação</t>
  </si>
  <si>
    <t xml:space="preserve">un</t>
  </si>
  <si>
    <t xml:space="preserve">2 por estação (uma carregando) + 10% de reserva</t>
  </si>
  <si>
    <t xml:space="preserve">Pulseira NFC (ESP32-C3 + PN532 + bateria)</t>
  </si>
  <si>
    <t xml:space="preserve">Carregador USB das pulseiras (1 por estação)</t>
  </si>
  <si>
    <t xml:space="preserve">Montagem por pulseira</t>
  </si>
  <si>
    <t xml:space="preserve">h/un</t>
  </si>
  <si>
    <t xml:space="preserve">RFID (melhoria futura): ganho</t>
  </si>
  <si>
    <t xml:space="preserve">Volumes por dia (as duas linhas)</t>
  </si>
  <si>
    <t xml:space="preserve">volumes</t>
  </si>
  <si>
    <t xml:space="preserve">informado pela operação</t>
  </si>
  <si>
    <t xml:space="preserve">Estações visitadas por volume (média)</t>
  </si>
  <si>
    <t xml:space="preserve">estações</t>
  </si>
  <si>
    <t xml:space="preserve">simulador, aba Operação completa: 20 itens por volume espalhados pelas 20 estações da linha</t>
  </si>
  <si>
    <t xml:space="preserve">Leituras de etiqueta por visita</t>
  </si>
  <si>
    <t xml:space="preserve">leituras</t>
  </si>
  <si>
    <t xml:space="preserve">abrir e fechar a caixa na estação</t>
  </si>
  <si>
    <t xml:space="preserve">Tempo economizado por leitura com a pulseira</t>
  </si>
  <si>
    <t xml:space="preserve">s</t>
  </si>
  <si>
    <t xml:space="preserve">PREMISSA A MEDIR NA POC: pegar o coletor, mirar e apertar o gatilho × encostar a mão na caixa</t>
  </si>
  <si>
    <t xml:space="preserve">Dias de operação por mês</t>
  </si>
  <si>
    <t xml:space="preserve">dias</t>
  </si>
  <si>
    <t xml:space="preserve">CONFIRMAR com a operação</t>
  </si>
  <si>
    <t xml:space="preserve">O ganho do RFID é tempo de operador liberado. Ele vira economia em reais quando reduz hora extra ou pessoas, ou quando permite absorver mais volume com a mesma equipe.</t>
  </si>
  <si>
    <t xml:space="preserve">Estações (40)</t>
  </si>
  <si>
    <t xml:space="preserve">Fonte: tabela wms_endereco de 23/10/2026. As quantidades de compra na aba Projeto somam estas colunas com 10% de reserva.</t>
  </si>
  <si>
    <t xml:space="preserve">Estação (rua)</t>
  </si>
  <si>
    <t xml:space="preserve">Segmento</t>
  </si>
  <si>
    <t xml:space="preserve">Endereços</t>
  </si>
  <si>
    <t xml:space="preserve">Módulos Q
(alto giro 0-3)</t>
  </si>
  <si>
    <t xml:space="preserve">Nós de coluna</t>
  </si>
  <si>
    <t xml:space="preserve">E+Q andares 4-5</t>
  </si>
  <si>
    <t xml:space="preserve">E+Q zonas
baixo giro</t>
  </si>
  <si>
    <t xml:space="preserve">Concentrador</t>
  </si>
  <si>
    <t xml:space="preserve">03</t>
  </si>
  <si>
    <t xml:space="preserve">Medicamento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</si>
  <si>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</si>
  <si>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</si>
  <si>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</si>
  <si>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</si>
  <si>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</si>
  <si>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</si>
  <si>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</si>
  <si>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</si>
  <si>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</si>
  <si>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</si>
  <si>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</si>
  <si>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</si>
  <si>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</si>
  <si>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</si>
  <si>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</si>
  <si>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</si>
  <si>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</si>
  <si>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</si>
  <si>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</si>
  <si>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26</t>
  </si>
  <si>
    <t xml:space="preserve">Perfumaria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</si>
  <si>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</si>
  <si>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</si>
  <si>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</si>
  <si>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</si>
  <si>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</si>
  <si>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</si>
  <si>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</si>
  <si>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</si>
  <si>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</si>
  <si>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</si>
  <si>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</si>
  <si>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</si>
  <si>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</si>
  <si>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</si>
  <si>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</si>
  <si>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</si>
  <si>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</si>
  <si>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</si>
  <si>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</si>
  <si>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Total</t>
  </si>
  <si>
    <t xml:space="preserve">Projeto inteiro: 40 estações, equipe interna</t>
  </si>
  <si>
    <t xml:space="preserve">Arquitetura A (12 V): módulos montados pela equipe interna, concentrador por estação e barramento RS-485. Quantidades com 10% de reserva. Software fora desta planilha.</t>
  </si>
  <si>
    <t xml:space="preserve">Base de cálculo</t>
  </si>
  <si>
    <t xml:space="preserve">Qtd</t>
  </si>
  <si>
    <t xml:space="preserve">Preço unit. (R$)</t>
  </si>
  <si>
    <t xml:space="preserve">Total (R$)</t>
  </si>
  <si>
    <t xml:space="preserve">Módulos Q (alto giro 0-3)</t>
  </si>
  <si>
    <t xml:space="preserve">endereços alto giro 0-3 × (1 + reserva)</t>
  </si>
  <si>
    <t xml:space="preserve">Nós de coluna (alto giro)</t>
  </si>
  <si>
    <t xml:space="preserve">prédios do alto giro × (1 + reserva)</t>
  </si>
  <si>
    <t xml:space="preserve">Módulos E+Q (A4/A5 + zonas baixo giro)</t>
  </si>
  <si>
    <t xml:space="preserve">displays E+Q × (1 + reserva)</t>
  </si>
  <si>
    <t xml:space="preserve">Concentradores 12 V</t>
  </si>
  <si>
    <t xml:space="preserve">1 por estação × (1 + reserva)</t>
  </si>
  <si>
    <t xml:space="preserve">Cabo de barramento Cat5e (m)</t>
  </si>
  <si>
    <t xml:space="preserve">segmentos × m por segmento + 2 saídas × m de saída por estação</t>
  </si>
  <si>
    <t xml:space="preserve">Plugs RJ45 do barramento</t>
  </si>
  <si>
    <t xml:space="preserve">2 por segmento + 4 por estação (saídas)</t>
  </si>
  <si>
    <t xml:space="preserve">Canaleta / perfil de fixação (m)</t>
  </si>
  <si>
    <t xml:space="preserve">prédios alto giro × (largura × linhas + descida) + 2 lados × corredor + travessia, por estação</t>
  </si>
  <si>
    <t xml:space="preserve">Fixações diversas</t>
  </si>
  <si>
    <t xml:space="preserve">1 kit por estação</t>
  </si>
  <si>
    <t xml:space="preserve">Sinal luminoso de baixo giro</t>
  </si>
  <si>
    <t xml:space="preserve">1 por estação, ao lado da posição de pega</t>
  </si>
  <si>
    <t xml:space="preserve">Cabo de rede até a estação (m)</t>
  </si>
  <si>
    <t xml:space="preserve">metros por estação</t>
  </si>
  <si>
    <t xml:space="preserve">Switch 24 portas</t>
  </si>
  <si>
    <t xml:space="preserve">estações ÷ portas por switch (arredondado para cima)</t>
  </si>
  <si>
    <t xml:space="preserve">Nobreak do switch</t>
  </si>
  <si>
    <t xml:space="preserve">1 por switch</t>
  </si>
  <si>
    <t xml:space="preserve">Mini rack de parede do switch</t>
  </si>
  <si>
    <t xml:space="preserve">Cabo de uplink até a rede corporativa (m)</t>
  </si>
  <si>
    <t xml:space="preserve">switches × m de uplink</t>
  </si>
  <si>
    <t xml:space="preserve">Pontos de tomada 220 V novos</t>
  </si>
  <si>
    <t xml:space="preserve">estações × % sem tomada próxima (arredondado para cima)</t>
  </si>
  <si>
    <t xml:space="preserve">Ferramentas de rede (crimpar e testar)</t>
  </si>
  <si>
    <t xml:space="preserve">1 kit (compra única)</t>
  </si>
  <si>
    <t xml:space="preserve">Bancada de eletrônica (solda, multímetro)</t>
  </si>
  <si>
    <t xml:space="preserve">% sobre os materiais acima (aba Premissas)</t>
  </si>
  <si>
    <t xml:space="preserve">Subtotal materiais</t>
  </si>
  <si>
    <t xml:space="preserve">Montagem Módulos Q (h)</t>
  </si>
  <si>
    <t xml:space="preserve">módulos × h/un</t>
  </si>
  <si>
    <t xml:space="preserve">Montagem Nós de coluna (h)</t>
  </si>
  <si>
    <t xml:space="preserve">nós × h/un</t>
  </si>
  <si>
    <t xml:space="preserve">Montagem Módulos E+Q (h)</t>
  </si>
  <si>
    <t xml:space="preserve">Montagem Concentradores (h)</t>
  </si>
  <si>
    <t xml:space="preserve">concentradores × h/un</t>
  </si>
  <si>
    <t xml:space="preserve">Instalação nas estações (h)</t>
  </si>
  <si>
    <t xml:space="preserve">(fixo por estação + Q + nós + E+Q + canaleta) × fator hora extra</t>
  </si>
  <si>
    <t xml:space="preserve">Testes e comissionamento (h)</t>
  </si>
  <si>
    <t xml:space="preserve">estações × h/estação × fator hora extra</t>
  </si>
  <si>
    <t xml:space="preserve">Treinamento dos operadores (h)</t>
  </si>
  <si>
    <t xml:space="preserve">estações × turnos × h por operador</t>
  </si>
  <si>
    <t xml:space="preserve">Treinamento da manutenção (h)</t>
  </si>
  <si>
    <t xml:space="preserve">total da equipe</t>
  </si>
  <si>
    <t xml:space="preserve">Subtotal mão de obra e treinamento</t>
  </si>
  <si>
    <t xml:space="preserve">TOTAL DO PROJETO (materiais + mão de obra)</t>
  </si>
  <si>
    <t xml:space="preserve">Projeção futura: identificação por RFID</t>
  </si>
  <si>
    <t xml:space="preserve">Melhoria futura, fora do investimento inicial: tag NFC em cada caixa e pulseira no operador. A caixa abre e fecha quando o operador encosta a mão, sem o gatilho do coletor. O hardware e o software do projeto já ficam preparados. As cerca de 80 h de software do RFID não estão somadas, como no restante desta planilha.</t>
  </si>
  <si>
    <t xml:space="preserve">1. Custo de implantação nas 40 estações</t>
  </si>
  <si>
    <t xml:space="preserve">Tags NFC nas caixas retornáveis</t>
  </si>
  <si>
    <t xml:space="preserve">frota de caixas</t>
  </si>
  <si>
    <t xml:space="preserve">Associação tag ↔ caixa (h)</t>
  </si>
  <si>
    <t xml:space="preserve">frota × segundos por caixa ÷ 3.600</t>
  </si>
  <si>
    <t xml:space="preserve">Pulseiras NFC</t>
  </si>
  <si>
    <t xml:space="preserve">estações × pulseiras por estação (arredondado para cima)</t>
  </si>
  <si>
    <t xml:space="preserve">Carregadores USB</t>
  </si>
  <si>
    <t xml:space="preserve">1 por estação</t>
  </si>
  <si>
    <t xml:space="preserve">Montagem das pulseiras (h)</t>
  </si>
  <si>
    <t xml:space="preserve">pulseiras × horas por pulseira</t>
  </si>
  <si>
    <t xml:space="preserve">Subtotal RFID</t>
  </si>
  <si>
    <t xml:space="preserve">% da aba Premissas</t>
  </si>
  <si>
    <t xml:space="preserve">TOTAL RFID COM CONTINGÊNCIA</t>
  </si>
  <si>
    <t xml:space="preserve">2. Implantação em etapas</t>
  </si>
  <si>
    <t xml:space="preserve">Etapa</t>
  </si>
  <si>
    <t xml:space="preserve">Estações</t>
  </si>
  <si>
    <t xml:space="preserve">Tags NFC</t>
  </si>
  <si>
    <t xml:space="preserve">Pulseiras</t>
  </si>
  <si>
    <t xml:space="preserve">Carregadores</t>
  </si>
  <si>
    <t xml:space="preserve">Horas (assoc. + montagem)</t>
  </si>
  <si>
    <t xml:space="preserve">Custo com contingência (R$)</t>
  </si>
  <si>
    <t xml:space="preserve">Etapa 1: estações da POC (04 e 27)</t>
  </si>
  <si>
    <t xml:space="preserve">Etapa 2: demais estações de Medicamento</t>
  </si>
  <si>
    <t xml:space="preserve">Etapa 3: demais estações de Perfumaria</t>
  </si>
  <si>
    <t xml:space="preserve">Total das etapas</t>
  </si>
  <si>
    <t xml:space="preserve">Tags divididas pela frota na proporção das estações de cada etapa. Se as caixas circulam entre as duas linhas, a frota inteira precisa de tag já na etapa 2. Pulseiras arredondadas para cima em cada etapa, por isso o total das etapas pode passar um pouco do item 1.</t>
  </si>
  <si>
    <t xml:space="preserve">3. Ganho e retorno</t>
  </si>
  <si>
    <t xml:space="preserve">Indicador</t>
  </si>
  <si>
    <t xml:space="preserve">Leituras de etiqueta por dia</t>
  </si>
  <si>
    <t xml:space="preserve">Tempo de operador liberado por dia</t>
  </si>
  <si>
    <t xml:space="preserve">h/dia</t>
  </si>
  <si>
    <t xml:space="preserve">h/mês</t>
  </si>
  <si>
    <t xml:space="preserve">Equivalente em operadores</t>
  </si>
  <si>
    <t xml:space="preserve">operadores (163 h/mês)</t>
  </si>
  <si>
    <t xml:space="preserve">R$/mês</t>
  </si>
  <si>
    <t xml:space="preserve">Retorno do investimento no RFID (40 estações)</t>
  </si>
  <si>
    <t xml:space="preserve">meses</t>
  </si>
  <si>
    <t xml:space="preserve">Investimento acumulado (R$)</t>
  </si>
  <si>
    <t xml:space="preserve">Ganho por mês (R$)</t>
  </si>
  <si>
    <t xml:space="preserve">Ganho acumulado por mês (R$)</t>
  </si>
  <si>
    <t xml:space="preserve">Retorno da etapa (meses)</t>
  </si>
  <si>
    <t xml:space="preserve">O ganho de cada etapa é proporcional às estações cobertas. Todos os tempos são premissas (aba Premissas); o tempo economizado por leitura deve ser medido na POC antes de decidir o RFID.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</si>
</sst>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 &quot;#,##0.00;&quot;(R$ &quot;#,##0.00\);\-"/>
    <numFmt numFmtId="166" formatCode="#,##0&quot; h&quot;"/>
    <numFmt numFmtId="167" formatCode="0.0&quot; meses&quot;"/>
    <numFmt numFmtId="168" formatCode="#,##0;\(#,##0\);\-"/>
    <numFmt numFmtId="169" formatCode="0.0%;\(0.0%\);\-"/>
    <numFmt numFmtId="170" formatCode="#,##0.##;\(#,##0.##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D9E1F2"/>
      </patternFill>
    </fill>
    <fill>
      <patternFill patternType="solid">
        <fgColor rgb="FFD9E1F2"/>
        <bgColor rgb="FFFCE4D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20"/>
    <col collapsed="false" customWidth="true" hidden="false" outlineLevel="0" max="3" min="3" style="0" width="64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Projeto!E24</f>
        <v>222482.887797295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f aca="false">Projeto!E35</f>
        <v>82272.6042331289</v>
      </c>
      <c r="C6" s="6" t="s">
        <v>8</v>
      </c>
    </row>
    <row r="7" customFormat="false" ht="15" hidden="false" customHeight="false" outlineLevel="0" collapsed="false">
      <c r="A7" s="7" t="s">
        <v>9</v>
      </c>
      <c r="B7" s="8" t="n">
        <f aca="false">B5+B6</f>
        <v>304755.492030424</v>
      </c>
      <c r="C7" s="6"/>
    </row>
    <row r="8" customFormat="false" ht="15" hidden="false" customHeight="false" outlineLevel="0" collapsed="false">
      <c r="A8" s="4" t="s">
        <v>10</v>
      </c>
      <c r="B8" s="5" t="n">
        <f aca="false">B7*Premissas!$B$9</f>
        <v>30475.5492030424</v>
      </c>
      <c r="C8" s="6" t="s">
        <v>11</v>
      </c>
    </row>
    <row r="9" customFormat="false" ht="15" hidden="false" customHeight="false" outlineLevel="0" collapsed="false">
      <c r="A9" s="9" t="s">
        <v>12</v>
      </c>
      <c r="B9" s="10" t="n">
        <f aca="false">B7+B8</f>
        <v>335231.041233466</v>
      </c>
      <c r="C9" s="11" t="s">
        <v>13</v>
      </c>
    </row>
    <row r="10" customFormat="false" ht="15" hidden="false" customHeight="false" outlineLevel="0" collapsed="false">
      <c r="A10" s="4" t="s">
        <v>14</v>
      </c>
      <c r="B10" s="5" t="n">
        <f aca="false">B9/COUNT(Estações!$C$5:$C$44)</f>
        <v>8380.77603083666</v>
      </c>
      <c r="C10" s="6"/>
    </row>
    <row r="12" customFormat="false" ht="15" hidden="false" customHeight="false" outlineLevel="0" collapsed="false">
      <c r="A12" s="12" t="s">
        <v>15</v>
      </c>
    </row>
    <row r="13" customFormat="false" ht="15" hidden="false" customHeight="false" outlineLevel="0" collapsed="false">
      <c r="A13" s="4" t="s">
        <v>16</v>
      </c>
      <c r="B13" s="5" t="n">
        <f aca="false">'RFID futuro'!E13</f>
        <v>36343.771811861</v>
      </c>
      <c r="C13" s="6" t="s">
        <v>17</v>
      </c>
    </row>
    <row r="14" customFormat="false" ht="15" hidden="false" customHeight="false" outlineLevel="0" collapsed="false">
      <c r="A14" s="4" t="s">
        <v>18</v>
      </c>
      <c r="B14" s="13" t="n">
        <f aca="false">'RFID futuro'!B27</f>
        <v>660</v>
      </c>
      <c r="C14" s="6" t="s">
        <v>19</v>
      </c>
    </row>
    <row r="15" customFormat="false" ht="15" hidden="false" customHeight="false" outlineLevel="0" collapsed="false">
      <c r="A15" s="4" t="s">
        <v>20</v>
      </c>
      <c r="B15" s="5" t="n">
        <f aca="false">'RFID futuro'!B29</f>
        <v>16273.9803680981</v>
      </c>
      <c r="C15" s="6"/>
    </row>
    <row r="16" customFormat="false" ht="15" hidden="false" customHeight="false" outlineLevel="0" collapsed="false">
      <c r="A16" s="4" t="s">
        <v>21</v>
      </c>
      <c r="B16" s="14" t="n">
        <f aca="false">'RFID futuro'!B30</f>
        <v>2.23324417197317</v>
      </c>
      <c r="C16" s="6" t="s">
        <v>22</v>
      </c>
    </row>
    <row r="18" customFormat="false" ht="15" hidden="false" customHeight="false" outlineLevel="0" collapsed="false">
      <c r="A18" s="12" t="s">
        <v>23</v>
      </c>
    </row>
    <row r="19" customFormat="false" ht="15" hidden="false" customHeight="false" outlineLevel="0" collapsed="false">
      <c r="A19" s="4" t="s">
        <v>24</v>
      </c>
      <c r="B19" s="15" t="n">
        <f aca="false">Projeto!C6</f>
        <v>1408</v>
      </c>
    </row>
    <row r="20" customFormat="false" ht="15" hidden="false" customHeight="false" outlineLevel="0" collapsed="false">
      <c r="A20" s="4" t="s">
        <v>25</v>
      </c>
      <c r="B20" s="15" t="n">
        <f aca="false">Projeto!C7</f>
        <v>440</v>
      </c>
    </row>
    <row r="21" customFormat="false" ht="15" hidden="false" customHeight="false" outlineLevel="0" collapsed="false">
      <c r="A21" s="4" t="s">
        <v>26</v>
      </c>
      <c r="B21" s="15" t="n">
        <f aca="false">Projeto!C8</f>
        <v>277</v>
      </c>
    </row>
    <row r="22" customFormat="false" ht="15" hidden="false" customHeight="false" outlineLevel="0" collapsed="false">
      <c r="A22" s="4" t="s">
        <v>27</v>
      </c>
      <c r="B22" s="15" t="n">
        <f aca="false">Projeto!C9</f>
        <v>44</v>
      </c>
    </row>
    <row r="23" customFormat="false" ht="15" hidden="false" customHeight="false" outlineLevel="0" collapsed="false">
      <c r="A23" s="4" t="s">
        <v>28</v>
      </c>
      <c r="B23" s="15" t="n">
        <f aca="false">Projeto!C35</f>
        <v>2402.375</v>
      </c>
    </row>
    <row r="25" customFormat="false" ht="27.75" hidden="false" customHeight="true" outlineLevel="0" collapsed="false">
      <c r="A25" s="2" t="s">
        <v>29</v>
      </c>
      <c r="B25" s="2"/>
      <c r="C25" s="2"/>
    </row>
  </sheetData>
  <mergeCells count="2">
    <mergeCell ref="A2:C2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30</v>
      </c>
    </row>
    <row r="2" customFormat="false" ht="27.75" hidden="false" customHeight="true" outlineLevel="0" collapsed="false">
      <c r="A2" s="2" t="s">
        <v>31</v>
      </c>
      <c r="B2" s="2"/>
      <c r="C2" s="2"/>
      <c r="D2" s="2"/>
    </row>
    <row r="4" customFormat="false" ht="30" hidden="false" customHeight="true" outlineLevel="0" collapsed="false">
      <c r="A4" s="3" t="s">
        <v>32</v>
      </c>
      <c r="B4" s="3" t="s">
        <v>33</v>
      </c>
      <c r="C4" s="3" t="s">
        <v>34</v>
      </c>
      <c r="D4" s="3" t="s">
        <v>35</v>
      </c>
    </row>
    <row r="5" customFormat="false" ht="15" hidden="false" customHeight="false" outlineLevel="0" collapsed="false">
      <c r="A5" s="16" t="s">
        <v>36</v>
      </c>
      <c r="B5" s="17"/>
      <c r="C5" s="17"/>
      <c r="D5" s="17"/>
    </row>
    <row r="6" customFormat="false" ht="22.35" hidden="false" customHeight="false" outlineLevel="0" collapsed="false">
      <c r="A6" s="18" t="s">
        <v>37</v>
      </c>
      <c r="B6" s="19" t="n">
        <v>34.9305521472393</v>
      </c>
      <c r="C6" s="4" t="s">
        <v>38</v>
      </c>
      <c r="D6" s="6" t="s">
        <v>39</v>
      </c>
    </row>
    <row r="7" customFormat="false" ht="22.35" hidden="false" customHeight="false" outlineLevel="0" collapsed="false">
      <c r="A7" s="18" t="s">
        <v>40</v>
      </c>
      <c r="B7" s="19" t="n">
        <v>24.6575460122699</v>
      </c>
      <c r="C7" s="4" t="s">
        <v>38</v>
      </c>
      <c r="D7" s="6" t="s">
        <v>41</v>
      </c>
    </row>
    <row r="8" customFormat="false" ht="15" hidden="false" customHeight="false" outlineLevel="0" collapsed="false">
      <c r="A8" s="18" t="s">
        <v>42</v>
      </c>
      <c r="B8" s="20" t="n">
        <v>0.05</v>
      </c>
      <c r="C8" s="4" t="s">
        <v>43</v>
      </c>
      <c r="D8" s="6" t="s">
        <v>44</v>
      </c>
    </row>
    <row r="9" customFormat="false" ht="15" hidden="false" customHeight="false" outlineLevel="0" collapsed="false">
      <c r="A9" s="18" t="s">
        <v>45</v>
      </c>
      <c r="B9" s="21" t="n">
        <v>0.1</v>
      </c>
      <c r="C9" s="4" t="s">
        <v>43</v>
      </c>
      <c r="D9" s="6" t="s">
        <v>46</v>
      </c>
    </row>
    <row r="11" customFormat="false" ht="15" hidden="false" customHeight="false" outlineLevel="0" collapsed="false">
      <c r="A11" s="16" t="s">
        <v>47</v>
      </c>
      <c r="B11" s="17"/>
      <c r="C11" s="17"/>
      <c r="D11" s="17"/>
    </row>
    <row r="12" customFormat="false" ht="15" hidden="false" customHeight="false" outlineLevel="0" collapsed="false">
      <c r="A12" s="18" t="s">
        <v>48</v>
      </c>
      <c r="B12" s="22" t="n">
        <v>5000</v>
      </c>
      <c r="C12" s="4" t="s">
        <v>49</v>
      </c>
      <c r="D12" s="6" t="s">
        <v>50</v>
      </c>
    </row>
    <row r="13" customFormat="false" ht="15" hidden="false" customHeight="false" outlineLevel="0" collapsed="false">
      <c r="A13" s="18" t="s">
        <v>51</v>
      </c>
      <c r="B13" s="23" t="n">
        <v>2.87</v>
      </c>
      <c r="C13" s="4" t="s">
        <v>52</v>
      </c>
      <c r="D13" s="6" t="s">
        <v>53</v>
      </c>
    </row>
    <row r="14" customFormat="false" ht="15" hidden="false" customHeight="false" outlineLevel="0" collapsed="false">
      <c r="A14" s="18" t="s">
        <v>54</v>
      </c>
      <c r="B14" s="24" t="n">
        <v>30</v>
      </c>
      <c r="C14" s="4" t="s">
        <v>55</v>
      </c>
      <c r="D14" s="6" t="s">
        <v>56</v>
      </c>
    </row>
    <row r="15" customFormat="false" ht="15" hidden="false" customHeight="false" outlineLevel="0" collapsed="false">
      <c r="A15" s="18" t="s">
        <v>57</v>
      </c>
      <c r="B15" s="24" t="n">
        <v>2.2</v>
      </c>
      <c r="C15" s="4" t="s">
        <v>58</v>
      </c>
      <c r="D15" s="6" t="s">
        <v>59</v>
      </c>
    </row>
    <row r="16" customFormat="false" ht="15" hidden="false" customHeight="false" outlineLevel="0" collapsed="false">
      <c r="A16" s="18" t="s">
        <v>60</v>
      </c>
      <c r="B16" s="23" t="n">
        <v>127.54</v>
      </c>
      <c r="C16" s="4" t="s">
        <v>52</v>
      </c>
      <c r="D16" s="6" t="s">
        <v>53</v>
      </c>
    </row>
    <row r="17" customFormat="false" ht="15" hidden="false" customHeight="false" outlineLevel="0" collapsed="false">
      <c r="A17" s="18" t="s">
        <v>61</v>
      </c>
      <c r="B17" s="23" t="n">
        <v>35</v>
      </c>
      <c r="C17" s="4" t="s">
        <v>52</v>
      </c>
      <c r="D17" s="6" t="s">
        <v>53</v>
      </c>
    </row>
    <row r="18" customFormat="false" ht="15" hidden="false" customHeight="false" outlineLevel="0" collapsed="false">
      <c r="A18" s="18" t="s">
        <v>62</v>
      </c>
      <c r="B18" s="24" t="n">
        <v>1.5</v>
      </c>
      <c r="C18" s="4" t="s">
        <v>63</v>
      </c>
      <c r="D18" s="6" t="s">
        <v>56</v>
      </c>
    </row>
    <row r="20" customFormat="false" ht="15" hidden="false" customHeight="false" outlineLevel="0" collapsed="false">
      <c r="A20" s="16" t="s">
        <v>64</v>
      </c>
      <c r="B20" s="17"/>
      <c r="C20" s="17"/>
      <c r="D20" s="17"/>
    </row>
    <row r="21" customFormat="false" ht="15" hidden="false" customHeight="false" outlineLevel="0" collapsed="false">
      <c r="A21" s="18" t="s">
        <v>65</v>
      </c>
      <c r="B21" s="22" t="n">
        <v>3000</v>
      </c>
      <c r="C21" s="4" t="s">
        <v>66</v>
      </c>
      <c r="D21" s="6" t="s">
        <v>67</v>
      </c>
    </row>
    <row r="22" customFormat="false" ht="22.35" hidden="false" customHeight="false" outlineLevel="0" collapsed="false">
      <c r="A22" s="18" t="s">
        <v>68</v>
      </c>
      <c r="B22" s="25" t="n">
        <v>12</v>
      </c>
      <c r="C22" s="4" t="s">
        <v>69</v>
      </c>
      <c r="D22" s="6" t="s">
        <v>70</v>
      </c>
    </row>
    <row r="23" customFormat="false" ht="15" hidden="false" customHeight="false" outlineLevel="0" collapsed="false">
      <c r="A23" s="18" t="s">
        <v>71</v>
      </c>
      <c r="B23" s="26" t="n">
        <v>2</v>
      </c>
      <c r="C23" s="4" t="s">
        <v>72</v>
      </c>
      <c r="D23" s="6" t="s">
        <v>73</v>
      </c>
    </row>
    <row r="24" customFormat="false" ht="22.35" hidden="false" customHeight="false" outlineLevel="0" collapsed="false">
      <c r="A24" s="18" t="s">
        <v>74</v>
      </c>
      <c r="B24" s="25" t="n">
        <v>1.5</v>
      </c>
      <c r="C24" s="4" t="s">
        <v>75</v>
      </c>
      <c r="D24" s="6" t="s">
        <v>76</v>
      </c>
    </row>
    <row r="25" customFormat="false" ht="15" hidden="false" customHeight="false" outlineLevel="0" collapsed="false">
      <c r="A25" s="18" t="s">
        <v>77</v>
      </c>
      <c r="B25" s="26" t="n">
        <v>22</v>
      </c>
      <c r="C25" s="4" t="s">
        <v>78</v>
      </c>
      <c r="D25" s="6" t="s">
        <v>79</v>
      </c>
    </row>
    <row r="27" customFormat="false" ht="27.75" hidden="false" customHeight="true" outlineLevel="0" collapsed="false">
      <c r="A27" s="2" t="s">
        <v>80</v>
      </c>
      <c r="B27" s="2"/>
      <c r="C27" s="2"/>
      <c r="D27" s="2"/>
    </row>
  </sheetData>
  <mergeCells count="2">
    <mergeCell ref="A2:D2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8" min="6" style="0" width="14"/>
  </cols>
  <sheetData>
    <row r="1" customFormat="false" ht="17.35" hidden="false" customHeight="false" outlineLevel="0" collapsed="false">
      <c r="A1" s="1" t="s">
        <v>81</v>
      </c>
    </row>
    <row r="2" customFormat="false" ht="27.75" hidden="false" customHeight="true" outlineLevel="0" collapsed="false">
      <c r="A2" s="2" t="s">
        <v>82</v>
      </c>
      <c r="B2" s="2"/>
      <c r="C2" s="2"/>
      <c r="D2" s="2"/>
      <c r="E2" s="2"/>
      <c r="F2" s="2"/>
      <c r="G2" s="2"/>
      <c r="H2" s="2"/>
    </row>
    <row r="4" customFormat="false" ht="42" hidden="false" customHeight="true" outlineLevel="0" collapsed="false">
      <c r="A4" s="3" t="s">
        <v>83</v>
      </c>
      <c r="B4" s="3" t="s">
        <v>84</v>
      </c>
      <c r="C4" s="3" t="s">
        <v>85</v>
      </c>
      <c r="D4" s="3" t="s">
        <v>86</v>
      </c>
      <c r="E4" s="3" t="s">
        <v>87</v>
      </c>
      <c r="F4" s="3" t="s">
        <v>88</v>
      </c>
      <c r="G4" s="3" t="s">
        <v>89</v>
      </c>
      <c r="H4" s="3" t="s">
        <v>90</v>
      </c>
    </row>
    <row r="5" customFormat="false" ht="15" hidden="false" customHeight="false" outlineLevel="0" collapsed="false">
      <c r="A5" s="27" t="s">
        <v>91</v>
      </c>
      <c r="B5" s="27" t="s">
        <v>92</v>
      </c>
      <c r="C5" s="26" t="n">
        <v>131</v>
      </c>
      <c r="D5" s="26" t="n">
        <v>29</v>
      </c>
      <c r="E5" s="26" t="n">
        <v>10</v>
      </c>
      <c r="F5" s="26" t="n">
        <v>2</v>
      </c>
      <c r="G5" s="26" t="n">
        <v>2</v>
      </c>
      <c r="H5" s="26" t="n">
        <v>1</v>
      </c>
    </row>
    <row r="6" customFormat="false" ht="15" hidden="false" customHeight="false" outlineLevel="0" collapsed="false">
      <c r="A6" s="27" t="s">
        <v>93</v>
      </c>
      <c r="B6" s="27" t="s">
        <v>92</v>
      </c>
      <c r="C6" s="26" t="n">
        <v>201</v>
      </c>
      <c r="D6" s="26" t="n">
        <v>29</v>
      </c>
      <c r="E6" s="26" t="n">
        <v>10</v>
      </c>
      <c r="F6" s="26" t="n">
        <v>2</v>
      </c>
      <c r="G6" s="26" t="n">
        <v>4</v>
      </c>
      <c r="H6" s="26" t="n">
        <v>1</v>
      </c>
    </row>
    <row r="7" customFormat="false" ht="15" hidden="false" customHeight="false" outlineLevel="0" collapsed="false">
      <c r="A7" s="27" t="s">
        <v>94</v>
      </c>
      <c r="B7" s="27" t="s">
        <v>92</v>
      </c>
      <c r="C7" s="26" t="n">
        <v>209</v>
      </c>
      <c r="D7" s="26" t="n">
        <v>29</v>
      </c>
      <c r="E7" s="26" t="n">
        <v>10</v>
      </c>
      <c r="F7" s="26" t="n">
        <v>2</v>
      </c>
      <c r="G7" s="26" t="n">
        <v>4</v>
      </c>
      <c r="H7" s="26" t="n">
        <v>1</v>
      </c>
    </row>
    <row r="8" customFormat="false" ht="15" hidden="false" customHeight="false" outlineLevel="0" collapsed="false">
      <c r="A8" s="27" t="s">
        <v>95</v>
      </c>
      <c r="B8" s="27" t="s">
        <v>92</v>
      </c>
      <c r="C8" s="26" t="n">
        <v>209</v>
      </c>
      <c r="D8" s="26" t="n">
        <v>29</v>
      </c>
      <c r="E8" s="26" t="n">
        <v>10</v>
      </c>
      <c r="F8" s="26" t="n">
        <v>2</v>
      </c>
      <c r="G8" s="26" t="n">
        <v>4</v>
      </c>
      <c r="H8" s="26" t="n">
        <v>1</v>
      </c>
    </row>
    <row r="9" customFormat="false" ht="15" hidden="false" customHeight="false" outlineLevel="0" collapsed="false">
      <c r="A9" s="27" t="s">
        <v>96</v>
      </c>
      <c r="B9" s="27" t="s">
        <v>92</v>
      </c>
      <c r="C9" s="26" t="n">
        <v>209</v>
      </c>
      <c r="D9" s="26" t="n">
        <v>29</v>
      </c>
      <c r="E9" s="26" t="n">
        <v>10</v>
      </c>
      <c r="F9" s="26" t="n">
        <v>2</v>
      </c>
      <c r="G9" s="26" t="n">
        <v>4</v>
      </c>
      <c r="H9" s="26" t="n">
        <v>1</v>
      </c>
    </row>
    <row r="10" customFormat="false" ht="15" hidden="false" customHeight="false" outlineLevel="0" collapsed="false">
      <c r="A10" s="27" t="s">
        <v>97</v>
      </c>
      <c r="B10" s="27" t="s">
        <v>92</v>
      </c>
      <c r="C10" s="26" t="n">
        <v>205</v>
      </c>
      <c r="D10" s="26" t="n">
        <v>29</v>
      </c>
      <c r="E10" s="26" t="n">
        <v>10</v>
      </c>
      <c r="F10" s="26" t="n">
        <v>2</v>
      </c>
      <c r="G10" s="26" t="n">
        <v>4</v>
      </c>
      <c r="H10" s="26" t="n">
        <v>1</v>
      </c>
    </row>
    <row r="11" customFormat="false" ht="15" hidden="false" customHeight="false" outlineLevel="0" collapsed="false">
      <c r="A11" s="27" t="s">
        <v>98</v>
      </c>
      <c r="B11" s="27" t="s">
        <v>92</v>
      </c>
      <c r="C11" s="26" t="n">
        <v>241</v>
      </c>
      <c r="D11" s="26" t="n">
        <v>29</v>
      </c>
      <c r="E11" s="26" t="n">
        <v>10</v>
      </c>
      <c r="F11" s="26" t="n">
        <v>2</v>
      </c>
      <c r="G11" s="26" t="n">
        <v>5</v>
      </c>
      <c r="H11" s="26" t="n">
        <v>1</v>
      </c>
    </row>
    <row r="12" customFormat="false" ht="15" hidden="false" customHeight="false" outlineLevel="0" collapsed="false">
      <c r="A12" s="27" t="s">
        <v>99</v>
      </c>
      <c r="B12" s="27" t="s">
        <v>92</v>
      </c>
      <c r="C12" s="26" t="n">
        <v>237</v>
      </c>
      <c r="D12" s="26" t="n">
        <v>29</v>
      </c>
      <c r="E12" s="26" t="n">
        <v>10</v>
      </c>
      <c r="F12" s="26" t="n">
        <v>2</v>
      </c>
      <c r="G12" s="26" t="n">
        <v>5</v>
      </c>
      <c r="H12" s="26" t="n">
        <v>1</v>
      </c>
    </row>
    <row r="13" customFormat="false" ht="15" hidden="false" customHeight="false" outlineLevel="0" collapsed="false">
      <c r="A13" s="27" t="s">
        <v>100</v>
      </c>
      <c r="B13" s="27" t="s">
        <v>92</v>
      </c>
      <c r="C13" s="26" t="n">
        <v>205</v>
      </c>
      <c r="D13" s="26" t="n">
        <v>29</v>
      </c>
      <c r="E13" s="26" t="n">
        <v>10</v>
      </c>
      <c r="F13" s="26" t="n">
        <v>2</v>
      </c>
      <c r="G13" s="26" t="n">
        <v>4</v>
      </c>
      <c r="H13" s="26" t="n">
        <v>1</v>
      </c>
    </row>
    <row r="14" customFormat="false" ht="15" hidden="false" customHeight="false" outlineLevel="0" collapsed="false">
      <c r="A14" s="27" t="s">
        <v>101</v>
      </c>
      <c r="B14" s="27" t="s">
        <v>92</v>
      </c>
      <c r="C14" s="26" t="n">
        <v>209</v>
      </c>
      <c r="D14" s="26" t="n">
        <v>29</v>
      </c>
      <c r="E14" s="26" t="n">
        <v>10</v>
      </c>
      <c r="F14" s="26" t="n">
        <v>2</v>
      </c>
      <c r="G14" s="26" t="n">
        <v>4</v>
      </c>
      <c r="H14" s="26" t="n">
        <v>1</v>
      </c>
    </row>
    <row r="15" customFormat="false" ht="15" hidden="false" customHeight="false" outlineLevel="0" collapsed="false">
      <c r="A15" s="27" t="s">
        <v>102</v>
      </c>
      <c r="B15" s="27" t="s">
        <v>92</v>
      </c>
      <c r="C15" s="26" t="n">
        <v>203</v>
      </c>
      <c r="D15" s="26" t="n">
        <v>29</v>
      </c>
      <c r="E15" s="26" t="n">
        <v>10</v>
      </c>
      <c r="F15" s="26" t="n">
        <v>2</v>
      </c>
      <c r="G15" s="26" t="n">
        <v>4</v>
      </c>
      <c r="H15" s="26" t="n">
        <v>1</v>
      </c>
    </row>
    <row r="16" customFormat="false" ht="15" hidden="false" customHeight="false" outlineLevel="0" collapsed="false">
      <c r="A16" s="27" t="s">
        <v>103</v>
      </c>
      <c r="B16" s="27" t="s">
        <v>92</v>
      </c>
      <c r="C16" s="26" t="n">
        <v>209</v>
      </c>
      <c r="D16" s="26" t="n">
        <v>29</v>
      </c>
      <c r="E16" s="26" t="n">
        <v>10</v>
      </c>
      <c r="F16" s="26" t="n">
        <v>2</v>
      </c>
      <c r="G16" s="26" t="n">
        <v>4</v>
      </c>
      <c r="H16" s="26" t="n">
        <v>1</v>
      </c>
    </row>
    <row r="17" customFormat="false" ht="15" hidden="false" customHeight="false" outlineLevel="0" collapsed="false">
      <c r="A17" s="27" t="s">
        <v>104</v>
      </c>
      <c r="B17" s="27" t="s">
        <v>92</v>
      </c>
      <c r="C17" s="26" t="n">
        <v>231</v>
      </c>
      <c r="D17" s="26" t="n">
        <v>29</v>
      </c>
      <c r="E17" s="26" t="n">
        <v>10</v>
      </c>
      <c r="F17" s="26" t="n">
        <v>2</v>
      </c>
      <c r="G17" s="26" t="n">
        <v>5</v>
      </c>
      <c r="H17" s="26" t="n">
        <v>1</v>
      </c>
    </row>
    <row r="18" customFormat="false" ht="15" hidden="false" customHeight="false" outlineLevel="0" collapsed="false">
      <c r="A18" s="27" t="s">
        <v>105</v>
      </c>
      <c r="B18" s="27" t="s">
        <v>92</v>
      </c>
      <c r="C18" s="26" t="n">
        <v>237</v>
      </c>
      <c r="D18" s="26" t="n">
        <v>29</v>
      </c>
      <c r="E18" s="26" t="n">
        <v>10</v>
      </c>
      <c r="F18" s="26" t="n">
        <v>2</v>
      </c>
      <c r="G18" s="26" t="n">
        <v>5</v>
      </c>
      <c r="H18" s="26" t="n">
        <v>1</v>
      </c>
    </row>
    <row r="19" customFormat="false" ht="15" hidden="false" customHeight="false" outlineLevel="0" collapsed="false">
      <c r="A19" s="27" t="s">
        <v>106</v>
      </c>
      <c r="B19" s="27" t="s">
        <v>92</v>
      </c>
      <c r="C19" s="26" t="n">
        <v>205</v>
      </c>
      <c r="D19" s="26" t="n">
        <v>29</v>
      </c>
      <c r="E19" s="26" t="n">
        <v>10</v>
      </c>
      <c r="F19" s="26" t="n">
        <v>2</v>
      </c>
      <c r="G19" s="26" t="n">
        <v>4</v>
      </c>
      <c r="H19" s="26" t="n">
        <v>1</v>
      </c>
    </row>
    <row r="20" customFormat="false" ht="15" hidden="false" customHeight="false" outlineLevel="0" collapsed="false">
      <c r="A20" s="27" t="s">
        <v>107</v>
      </c>
      <c r="B20" s="27" t="s">
        <v>92</v>
      </c>
      <c r="C20" s="26" t="n">
        <v>209</v>
      </c>
      <c r="D20" s="26" t="n">
        <v>29</v>
      </c>
      <c r="E20" s="26" t="n">
        <v>10</v>
      </c>
      <c r="F20" s="26" t="n">
        <v>2</v>
      </c>
      <c r="G20" s="26" t="n">
        <v>4</v>
      </c>
      <c r="H20" s="26" t="n">
        <v>1</v>
      </c>
    </row>
    <row r="21" customFormat="false" ht="15" hidden="false" customHeight="false" outlineLevel="0" collapsed="false">
      <c r="A21" s="27" t="s">
        <v>108</v>
      </c>
      <c r="B21" s="27" t="s">
        <v>92</v>
      </c>
      <c r="C21" s="26" t="n">
        <v>203</v>
      </c>
      <c r="D21" s="26" t="n">
        <v>29</v>
      </c>
      <c r="E21" s="26" t="n">
        <v>10</v>
      </c>
      <c r="F21" s="26" t="n">
        <v>2</v>
      </c>
      <c r="G21" s="26" t="n">
        <v>4</v>
      </c>
      <c r="H21" s="26" t="n">
        <v>1</v>
      </c>
    </row>
    <row r="22" customFormat="false" ht="15" hidden="false" customHeight="false" outlineLevel="0" collapsed="false">
      <c r="A22" s="27" t="s">
        <v>109</v>
      </c>
      <c r="B22" s="27" t="s">
        <v>92</v>
      </c>
      <c r="C22" s="26" t="n">
        <v>209</v>
      </c>
      <c r="D22" s="26" t="n">
        <v>29</v>
      </c>
      <c r="E22" s="26" t="n">
        <v>10</v>
      </c>
      <c r="F22" s="26" t="n">
        <v>2</v>
      </c>
      <c r="G22" s="26" t="n">
        <v>4</v>
      </c>
      <c r="H22" s="26" t="n">
        <v>1</v>
      </c>
    </row>
    <row r="23" customFormat="false" ht="15" hidden="false" customHeight="false" outlineLevel="0" collapsed="false">
      <c r="A23" s="27" t="s">
        <v>110</v>
      </c>
      <c r="B23" s="27" t="s">
        <v>92</v>
      </c>
      <c r="C23" s="26" t="n">
        <v>199</v>
      </c>
      <c r="D23" s="26" t="n">
        <v>29</v>
      </c>
      <c r="E23" s="26" t="n">
        <v>10</v>
      </c>
      <c r="F23" s="26" t="n">
        <v>2</v>
      </c>
      <c r="G23" s="26" t="n">
        <v>4</v>
      </c>
      <c r="H23" s="26" t="n">
        <v>1</v>
      </c>
    </row>
    <row r="24" customFormat="false" ht="15" hidden="false" customHeight="false" outlineLevel="0" collapsed="false">
      <c r="A24" s="27" t="s">
        <v>111</v>
      </c>
      <c r="B24" s="27" t="s">
        <v>92</v>
      </c>
      <c r="C24" s="26" t="n">
        <v>43</v>
      </c>
      <c r="D24" s="26" t="n">
        <v>29</v>
      </c>
      <c r="E24" s="26" t="n">
        <v>10</v>
      </c>
      <c r="F24" s="26" t="n">
        <v>2</v>
      </c>
      <c r="G24" s="26" t="n">
        <v>1</v>
      </c>
      <c r="H24" s="26" t="n">
        <v>1</v>
      </c>
    </row>
    <row r="25" customFormat="false" ht="15" hidden="false" customHeight="false" outlineLevel="0" collapsed="false">
      <c r="A25" s="27" t="s">
        <v>112</v>
      </c>
      <c r="B25" s="27" t="s">
        <v>113</v>
      </c>
      <c r="C25" s="26" t="n">
        <v>176</v>
      </c>
      <c r="D25" s="26" t="n">
        <v>35</v>
      </c>
      <c r="E25" s="26" t="n">
        <v>10</v>
      </c>
      <c r="F25" s="26" t="n">
        <v>2</v>
      </c>
      <c r="G25" s="26" t="n">
        <v>4</v>
      </c>
      <c r="H25" s="26" t="n">
        <v>1</v>
      </c>
    </row>
    <row r="26" customFormat="false" ht="15" hidden="false" customHeight="false" outlineLevel="0" collapsed="false">
      <c r="A26" s="27" t="s">
        <v>114</v>
      </c>
      <c r="B26" s="27" t="s">
        <v>113</v>
      </c>
      <c r="C26" s="26" t="n">
        <v>181</v>
      </c>
      <c r="D26" s="26" t="n">
        <v>35</v>
      </c>
      <c r="E26" s="26" t="n">
        <v>10</v>
      </c>
      <c r="F26" s="26" t="n">
        <v>2</v>
      </c>
      <c r="G26" s="26" t="n">
        <v>4</v>
      </c>
      <c r="H26" s="26" t="n">
        <v>1</v>
      </c>
    </row>
    <row r="27" customFormat="false" ht="15" hidden="false" customHeight="false" outlineLevel="0" collapsed="false">
      <c r="A27" s="27" t="s">
        <v>115</v>
      </c>
      <c r="B27" s="27" t="s">
        <v>113</v>
      </c>
      <c r="C27" s="26" t="n">
        <v>181</v>
      </c>
      <c r="D27" s="26" t="n">
        <v>35</v>
      </c>
      <c r="E27" s="26" t="n">
        <v>10</v>
      </c>
      <c r="F27" s="26" t="n">
        <v>2</v>
      </c>
      <c r="G27" s="26" t="n">
        <v>4</v>
      </c>
      <c r="H27" s="26" t="n">
        <v>1</v>
      </c>
    </row>
    <row r="28" customFormat="false" ht="15" hidden="false" customHeight="false" outlineLevel="0" collapsed="false">
      <c r="A28" s="27" t="s">
        <v>116</v>
      </c>
      <c r="B28" s="27" t="s">
        <v>113</v>
      </c>
      <c r="C28" s="26" t="n">
        <v>181</v>
      </c>
      <c r="D28" s="26" t="n">
        <v>35</v>
      </c>
      <c r="E28" s="26" t="n">
        <v>10</v>
      </c>
      <c r="F28" s="26" t="n">
        <v>2</v>
      </c>
      <c r="G28" s="26" t="n">
        <v>4</v>
      </c>
      <c r="H28" s="26" t="n">
        <v>1</v>
      </c>
    </row>
    <row r="29" customFormat="false" ht="15" hidden="false" customHeight="false" outlineLevel="0" collapsed="false">
      <c r="A29" s="27" t="s">
        <v>117</v>
      </c>
      <c r="B29" s="27" t="s">
        <v>113</v>
      </c>
      <c r="C29" s="26" t="n">
        <v>179</v>
      </c>
      <c r="D29" s="26" t="n">
        <v>35</v>
      </c>
      <c r="E29" s="26" t="n">
        <v>10</v>
      </c>
      <c r="F29" s="26" t="n">
        <v>2</v>
      </c>
      <c r="G29" s="26" t="n">
        <v>4</v>
      </c>
      <c r="H29" s="26" t="n">
        <v>1</v>
      </c>
    </row>
    <row r="30" customFormat="false" ht="15" hidden="false" customHeight="false" outlineLevel="0" collapsed="false">
      <c r="A30" s="27" t="s">
        <v>118</v>
      </c>
      <c r="B30" s="27" t="s">
        <v>113</v>
      </c>
      <c r="C30" s="26" t="n">
        <v>181</v>
      </c>
      <c r="D30" s="26" t="n">
        <v>35</v>
      </c>
      <c r="E30" s="26" t="n">
        <v>10</v>
      </c>
      <c r="F30" s="26" t="n">
        <v>2</v>
      </c>
      <c r="G30" s="26" t="n">
        <v>4</v>
      </c>
      <c r="H30" s="26" t="n">
        <v>1</v>
      </c>
    </row>
    <row r="31" customFormat="false" ht="15" hidden="false" customHeight="false" outlineLevel="0" collapsed="false">
      <c r="A31" s="27" t="s">
        <v>119</v>
      </c>
      <c r="B31" s="27" t="s">
        <v>113</v>
      </c>
      <c r="C31" s="26" t="n">
        <v>280</v>
      </c>
      <c r="D31" s="26" t="n">
        <v>35</v>
      </c>
      <c r="E31" s="26" t="n">
        <v>10</v>
      </c>
      <c r="F31" s="26" t="n">
        <v>2</v>
      </c>
      <c r="G31" s="26" t="n">
        <v>7</v>
      </c>
      <c r="H31" s="26" t="n">
        <v>1</v>
      </c>
    </row>
    <row r="32" customFormat="false" ht="15" hidden="false" customHeight="false" outlineLevel="0" collapsed="false">
      <c r="A32" s="27" t="s">
        <v>120</v>
      </c>
      <c r="B32" s="27" t="s">
        <v>113</v>
      </c>
      <c r="C32" s="26" t="n">
        <v>277</v>
      </c>
      <c r="D32" s="26" t="n">
        <v>35</v>
      </c>
      <c r="E32" s="26" t="n">
        <v>10</v>
      </c>
      <c r="F32" s="26" t="n">
        <v>2</v>
      </c>
      <c r="G32" s="26" t="n">
        <v>7</v>
      </c>
      <c r="H32" s="26" t="n">
        <v>1</v>
      </c>
    </row>
    <row r="33" customFormat="false" ht="15" hidden="false" customHeight="false" outlineLevel="0" collapsed="false">
      <c r="A33" s="27" t="s">
        <v>121</v>
      </c>
      <c r="B33" s="27" t="s">
        <v>113</v>
      </c>
      <c r="C33" s="26" t="n">
        <v>179</v>
      </c>
      <c r="D33" s="26" t="n">
        <v>35</v>
      </c>
      <c r="E33" s="26" t="n">
        <v>10</v>
      </c>
      <c r="F33" s="26" t="n">
        <v>2</v>
      </c>
      <c r="G33" s="26" t="n">
        <v>4</v>
      </c>
      <c r="H33" s="26" t="n">
        <v>1</v>
      </c>
    </row>
    <row r="34" customFormat="false" ht="15" hidden="false" customHeight="false" outlineLevel="0" collapsed="false">
      <c r="A34" s="27" t="s">
        <v>122</v>
      </c>
      <c r="B34" s="27" t="s">
        <v>113</v>
      </c>
      <c r="C34" s="26" t="n">
        <v>181</v>
      </c>
      <c r="D34" s="26" t="n">
        <v>35</v>
      </c>
      <c r="E34" s="26" t="n">
        <v>10</v>
      </c>
      <c r="F34" s="26" t="n">
        <v>2</v>
      </c>
      <c r="G34" s="26" t="n">
        <v>4</v>
      </c>
      <c r="H34" s="26" t="n">
        <v>1</v>
      </c>
    </row>
    <row r="35" customFormat="false" ht="15" hidden="false" customHeight="false" outlineLevel="0" collapsed="false">
      <c r="A35" s="27" t="s">
        <v>123</v>
      </c>
      <c r="B35" s="27" t="s">
        <v>113</v>
      </c>
      <c r="C35" s="26" t="n">
        <v>177</v>
      </c>
      <c r="D35" s="26" t="n">
        <v>35</v>
      </c>
      <c r="E35" s="26" t="n">
        <v>10</v>
      </c>
      <c r="F35" s="26" t="n">
        <v>2</v>
      </c>
      <c r="G35" s="26" t="n">
        <v>4</v>
      </c>
      <c r="H35" s="26" t="n">
        <v>1</v>
      </c>
    </row>
    <row r="36" customFormat="false" ht="15" hidden="false" customHeight="false" outlineLevel="0" collapsed="false">
      <c r="A36" s="27" t="s">
        <v>124</v>
      </c>
      <c r="B36" s="27" t="s">
        <v>113</v>
      </c>
      <c r="C36" s="26" t="n">
        <v>181</v>
      </c>
      <c r="D36" s="26" t="n">
        <v>35</v>
      </c>
      <c r="E36" s="26" t="n">
        <v>10</v>
      </c>
      <c r="F36" s="26" t="n">
        <v>2</v>
      </c>
      <c r="G36" s="26" t="n">
        <v>4</v>
      </c>
      <c r="H36" s="26" t="n">
        <v>1</v>
      </c>
    </row>
    <row r="37" customFormat="false" ht="15" hidden="false" customHeight="false" outlineLevel="0" collapsed="false">
      <c r="A37" s="27" t="s">
        <v>125</v>
      </c>
      <c r="B37" s="27" t="s">
        <v>113</v>
      </c>
      <c r="C37" s="26" t="n">
        <v>274</v>
      </c>
      <c r="D37" s="26" t="n">
        <v>35</v>
      </c>
      <c r="E37" s="26" t="n">
        <v>10</v>
      </c>
      <c r="F37" s="26" t="n">
        <v>2</v>
      </c>
      <c r="G37" s="26" t="n">
        <v>7</v>
      </c>
      <c r="H37" s="26" t="n">
        <v>1</v>
      </c>
    </row>
    <row r="38" customFormat="false" ht="15" hidden="false" customHeight="false" outlineLevel="0" collapsed="false">
      <c r="A38" s="27" t="s">
        <v>126</v>
      </c>
      <c r="B38" s="27" t="s">
        <v>113</v>
      </c>
      <c r="C38" s="26" t="n">
        <v>277</v>
      </c>
      <c r="D38" s="26" t="n">
        <v>35</v>
      </c>
      <c r="E38" s="26" t="n">
        <v>10</v>
      </c>
      <c r="F38" s="26" t="n">
        <v>2</v>
      </c>
      <c r="G38" s="26" t="n">
        <v>7</v>
      </c>
      <c r="H38" s="26" t="n">
        <v>1</v>
      </c>
    </row>
    <row r="39" customFormat="false" ht="15" hidden="false" customHeight="false" outlineLevel="0" collapsed="false">
      <c r="A39" s="27" t="s">
        <v>127</v>
      </c>
      <c r="B39" s="27" t="s">
        <v>113</v>
      </c>
      <c r="C39" s="26" t="n">
        <v>179</v>
      </c>
      <c r="D39" s="26" t="n">
        <v>35</v>
      </c>
      <c r="E39" s="26" t="n">
        <v>10</v>
      </c>
      <c r="F39" s="26" t="n">
        <v>2</v>
      </c>
      <c r="G39" s="26" t="n">
        <v>4</v>
      </c>
      <c r="H39" s="26" t="n">
        <v>1</v>
      </c>
    </row>
    <row r="40" customFormat="false" ht="15" hidden="false" customHeight="false" outlineLevel="0" collapsed="false">
      <c r="A40" s="27" t="s">
        <v>128</v>
      </c>
      <c r="B40" s="27" t="s">
        <v>113</v>
      </c>
      <c r="C40" s="26" t="n">
        <v>181</v>
      </c>
      <c r="D40" s="26" t="n">
        <v>35</v>
      </c>
      <c r="E40" s="26" t="n">
        <v>10</v>
      </c>
      <c r="F40" s="26" t="n">
        <v>2</v>
      </c>
      <c r="G40" s="26" t="n">
        <v>4</v>
      </c>
      <c r="H40" s="26" t="n">
        <v>1</v>
      </c>
    </row>
    <row r="41" customFormat="false" ht="15" hidden="false" customHeight="false" outlineLevel="0" collapsed="false">
      <c r="A41" s="27" t="s">
        <v>129</v>
      </c>
      <c r="B41" s="27" t="s">
        <v>113</v>
      </c>
      <c r="C41" s="26" t="n">
        <v>177</v>
      </c>
      <c r="D41" s="26" t="n">
        <v>35</v>
      </c>
      <c r="E41" s="26" t="n">
        <v>10</v>
      </c>
      <c r="F41" s="26" t="n">
        <v>2</v>
      </c>
      <c r="G41" s="26" t="n">
        <v>4</v>
      </c>
      <c r="H41" s="26" t="n">
        <v>1</v>
      </c>
    </row>
    <row r="42" customFormat="false" ht="15" hidden="false" customHeight="false" outlineLevel="0" collapsed="false">
      <c r="A42" s="27" t="s">
        <v>130</v>
      </c>
      <c r="B42" s="27" t="s">
        <v>113</v>
      </c>
      <c r="C42" s="26" t="n">
        <v>181</v>
      </c>
      <c r="D42" s="26" t="n">
        <v>35</v>
      </c>
      <c r="E42" s="26" t="n">
        <v>10</v>
      </c>
      <c r="F42" s="26" t="n">
        <v>2</v>
      </c>
      <c r="G42" s="26" t="n">
        <v>4</v>
      </c>
      <c r="H42" s="26" t="n">
        <v>1</v>
      </c>
    </row>
    <row r="43" customFormat="false" ht="15" hidden="false" customHeight="false" outlineLevel="0" collapsed="false">
      <c r="A43" s="27" t="s">
        <v>131</v>
      </c>
      <c r="B43" s="27" t="s">
        <v>113</v>
      </c>
      <c r="C43" s="26" t="n">
        <v>173</v>
      </c>
      <c r="D43" s="26" t="n">
        <v>35</v>
      </c>
      <c r="E43" s="26" t="n">
        <v>10</v>
      </c>
      <c r="F43" s="26" t="n">
        <v>2</v>
      </c>
      <c r="G43" s="26" t="n">
        <v>4</v>
      </c>
      <c r="H43" s="26" t="n">
        <v>1</v>
      </c>
    </row>
    <row r="44" customFormat="false" ht="15" hidden="false" customHeight="false" outlineLevel="0" collapsed="false">
      <c r="A44" s="27" t="s">
        <v>132</v>
      </c>
      <c r="B44" s="27" t="s">
        <v>113</v>
      </c>
      <c r="C44" s="26" t="n">
        <v>181</v>
      </c>
      <c r="D44" s="26" t="n">
        <v>35</v>
      </c>
      <c r="E44" s="26" t="n">
        <v>10</v>
      </c>
      <c r="F44" s="26" t="n">
        <v>2</v>
      </c>
      <c r="G44" s="26" t="n">
        <v>4</v>
      </c>
      <c r="H44" s="26" t="n">
        <v>1</v>
      </c>
    </row>
    <row r="45" customFormat="false" ht="15" hidden="false" customHeight="false" outlineLevel="0" collapsed="false">
      <c r="A45" s="28" t="s">
        <v>133</v>
      </c>
      <c r="B45" s="29"/>
      <c r="C45" s="30" t="n">
        <f aca="false">SUM(C5:C44)</f>
        <v>7981</v>
      </c>
      <c r="D45" s="30" t="n">
        <f aca="false">SUM(D5:D44)</f>
        <v>1280</v>
      </c>
      <c r="E45" s="30" t="n">
        <f aca="false">SUM(E5:E44)</f>
        <v>400</v>
      </c>
      <c r="F45" s="30" t="n">
        <f aca="false">SUM(F5:F44)</f>
        <v>80</v>
      </c>
      <c r="G45" s="30" t="n">
        <f aca="false">SUM(G5:G44)</f>
        <v>171</v>
      </c>
      <c r="H45" s="30" t="n">
        <f aca="false">SUM(H5:H44)</f>
        <v>40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7"/>
  </cols>
  <sheetData>
    <row r="1" customFormat="false" ht="17.35" hidden="false" customHeight="false" outlineLevel="0" collapsed="false">
      <c r="A1" s="1" t="s">
        <v>134</v>
      </c>
    </row>
    <row r="2" customFormat="false" ht="27.75" hidden="false" customHeight="true" outlineLevel="0" collapsed="false">
      <c r="A2" s="2" t="s">
        <v>135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 t="s">
        <v>136</v>
      </c>
      <c r="C4" s="3" t="s">
        <v>137</v>
      </c>
      <c r="D4" s="3" t="s">
        <v>138</v>
      </c>
      <c r="E4" s="3" t="s">
        <v>139</v>
      </c>
    </row>
    <row r="5" customFormat="false" ht="15" hidden="false" customHeight="false" outlineLevel="0" collapsed="false">
      <c r="A5" s="16" t="s">
        <v>5</v>
      </c>
      <c r="B5" s="17"/>
      <c r="C5" s="17"/>
      <c r="D5" s="17"/>
      <c r="E5" s="17"/>
    </row>
    <row r="6" customFormat="false" ht="15" hidden="false" customHeight="false" outlineLevel="0" collapsed="false">
      <c r="A6" s="18" t="s">
        <v>140</v>
      </c>
      <c r="B6" s="18" t="s">
        <v>141</v>
      </c>
      <c r="C6" s="24" t="n">
        <v>1408</v>
      </c>
      <c r="D6" s="23" t="n">
        <v>45.1417049180328</v>
      </c>
      <c r="E6" s="31" t="n">
        <f aca="false">C6*D6</f>
        <v>63559.5205245902</v>
      </c>
    </row>
    <row r="7" customFormat="false" ht="15" hidden="false" customHeight="false" outlineLevel="0" collapsed="false">
      <c r="A7" s="18" t="s">
        <v>142</v>
      </c>
      <c r="B7" s="18" t="s">
        <v>143</v>
      </c>
      <c r="C7" s="24" t="n">
        <v>440</v>
      </c>
      <c r="D7" s="23" t="n">
        <v>96.8</v>
      </c>
      <c r="E7" s="31" t="n">
        <f aca="false">C7*D7</f>
        <v>42592</v>
      </c>
    </row>
    <row r="8" customFormat="false" ht="15" hidden="false" customHeight="false" outlineLevel="0" collapsed="false">
      <c r="A8" s="18" t="s">
        <v>144</v>
      </c>
      <c r="B8" s="18" t="s">
        <v>145</v>
      </c>
      <c r="C8" s="24" t="n">
        <v>277</v>
      </c>
      <c r="D8" s="23" t="n">
        <v>134.95</v>
      </c>
      <c r="E8" s="31" t="n">
        <f aca="false">C8*D8</f>
        <v>37381.15</v>
      </c>
    </row>
    <row r="9" customFormat="false" ht="15" hidden="false" customHeight="false" outlineLevel="0" collapsed="false">
      <c r="A9" s="18" t="s">
        <v>146</v>
      </c>
      <c r="B9" s="18" t="s">
        <v>147</v>
      </c>
      <c r="C9" s="24" t="n">
        <v>44</v>
      </c>
      <c r="D9" s="23" t="n">
        <v>549.810425</v>
      </c>
      <c r="E9" s="31" t="n">
        <f aca="false">C9*D9</f>
        <v>24191.6587</v>
      </c>
    </row>
    <row r="10" customFormat="false" ht="15" hidden="false" customHeight="false" outlineLevel="0" collapsed="false">
      <c r="A10" s="18" t="s">
        <v>148</v>
      </c>
      <c r="B10" s="18" t="s">
        <v>149</v>
      </c>
      <c r="C10" s="24" t="n">
        <v>2433</v>
      </c>
      <c r="D10" s="23" t="n">
        <v>4.03085245901639</v>
      </c>
      <c r="E10" s="31" t="n">
        <f aca="false">C10*D10</f>
        <v>9807.06403278688</v>
      </c>
    </row>
    <row r="11" customFormat="false" ht="15" hidden="false" customHeight="false" outlineLevel="0" collapsed="false">
      <c r="A11" s="18" t="s">
        <v>150</v>
      </c>
      <c r="B11" s="18" t="s">
        <v>151</v>
      </c>
      <c r="C11" s="24" t="n">
        <v>1462</v>
      </c>
      <c r="D11" s="23" t="n">
        <v>0.8</v>
      </c>
      <c r="E11" s="31" t="n">
        <f aca="false">C11*D11</f>
        <v>1169.6</v>
      </c>
    </row>
    <row r="12" customFormat="false" ht="23.85" hidden="false" customHeight="false" outlineLevel="0" collapsed="false">
      <c r="A12" s="18" t="s">
        <v>152</v>
      </c>
      <c r="B12" s="18" t="s">
        <v>153</v>
      </c>
      <c r="C12" s="24" t="n">
        <v>1080</v>
      </c>
      <c r="D12" s="23" t="n">
        <v>9</v>
      </c>
      <c r="E12" s="31" t="n">
        <f aca="false">C12*D12</f>
        <v>9720</v>
      </c>
    </row>
    <row r="13" customFormat="false" ht="15" hidden="false" customHeight="false" outlineLevel="0" collapsed="false">
      <c r="A13" s="18" t="s">
        <v>154</v>
      </c>
      <c r="B13" s="18" t="s">
        <v>155</v>
      </c>
      <c r="C13" s="24" t="n">
        <v>40</v>
      </c>
      <c r="D13" s="23" t="n">
        <v>40</v>
      </c>
      <c r="E13" s="31" t="n">
        <f aca="false">C13*D13</f>
        <v>1600</v>
      </c>
    </row>
    <row r="14" customFormat="false" ht="15" hidden="false" customHeight="false" outlineLevel="0" collapsed="false">
      <c r="A14" s="18" t="s">
        <v>156</v>
      </c>
      <c r="B14" s="18" t="s">
        <v>157</v>
      </c>
      <c r="C14" s="24" t="n">
        <v>40</v>
      </c>
      <c r="D14" s="23" t="n">
        <v>45</v>
      </c>
      <c r="E14" s="31" t="n">
        <f aca="false">C14*D14</f>
        <v>1800</v>
      </c>
    </row>
    <row r="15" customFormat="false" ht="15" hidden="false" customHeight="false" outlineLevel="0" collapsed="false">
      <c r="A15" s="18" t="s">
        <v>158</v>
      </c>
      <c r="B15" s="18" t="s">
        <v>159</v>
      </c>
      <c r="C15" s="24" t="n">
        <v>2000</v>
      </c>
      <c r="D15" s="23" t="n">
        <v>4.03085245901639</v>
      </c>
      <c r="E15" s="31" t="n">
        <f aca="false">C15*D15</f>
        <v>8061.70491803278</v>
      </c>
    </row>
    <row r="16" customFormat="false" ht="15" hidden="false" customHeight="false" outlineLevel="0" collapsed="false">
      <c r="A16" s="18" t="s">
        <v>160</v>
      </c>
      <c r="B16" s="18" t="s">
        <v>161</v>
      </c>
      <c r="C16" s="24" t="n">
        <v>2</v>
      </c>
      <c r="D16" s="23" t="n">
        <v>769.32</v>
      </c>
      <c r="E16" s="31" t="n">
        <f aca="false">C16*D16</f>
        <v>1538.64</v>
      </c>
    </row>
    <row r="17" customFormat="false" ht="15" hidden="false" customHeight="false" outlineLevel="0" collapsed="false">
      <c r="A17" s="18" t="s">
        <v>162</v>
      </c>
      <c r="B17" s="18" t="s">
        <v>163</v>
      </c>
      <c r="C17" s="24" t="n">
        <v>2</v>
      </c>
      <c r="D17" s="23" t="n">
        <v>368.1</v>
      </c>
      <c r="E17" s="31" t="n">
        <f aca="false">C17*D17</f>
        <v>736.2</v>
      </c>
    </row>
    <row r="18" customFormat="false" ht="15" hidden="false" customHeight="false" outlineLevel="0" collapsed="false">
      <c r="A18" s="18" t="s">
        <v>164</v>
      </c>
      <c r="B18" s="18" t="s">
        <v>163</v>
      </c>
      <c r="C18" s="24" t="n">
        <v>2</v>
      </c>
      <c r="D18" s="23" t="n">
        <v>550</v>
      </c>
      <c r="E18" s="31" t="n">
        <f aca="false">C18*D18</f>
        <v>1100</v>
      </c>
    </row>
    <row r="19" customFormat="false" ht="15" hidden="false" customHeight="false" outlineLevel="0" collapsed="false">
      <c r="A19" s="18" t="s">
        <v>165</v>
      </c>
      <c r="B19" s="18" t="s">
        <v>166</v>
      </c>
      <c r="C19" s="24" t="n">
        <v>160</v>
      </c>
      <c r="D19" s="23" t="n">
        <v>4.03085245901639</v>
      </c>
      <c r="E19" s="31" t="n">
        <f aca="false">C19*D19</f>
        <v>644.936393442622</v>
      </c>
    </row>
    <row r="20" customFormat="false" ht="15" hidden="false" customHeight="false" outlineLevel="0" collapsed="false">
      <c r="A20" s="18" t="s">
        <v>167</v>
      </c>
      <c r="B20" s="18" t="s">
        <v>168</v>
      </c>
      <c r="C20" s="24" t="n">
        <v>20</v>
      </c>
      <c r="D20" s="23" t="n">
        <v>350</v>
      </c>
      <c r="E20" s="31" t="n">
        <f aca="false">C20*D20</f>
        <v>7000</v>
      </c>
    </row>
    <row r="21" customFormat="false" ht="15" hidden="false" customHeight="false" outlineLevel="0" collapsed="false">
      <c r="A21" s="18" t="s">
        <v>169</v>
      </c>
      <c r="B21" s="18" t="s">
        <v>170</v>
      </c>
      <c r="C21" s="24" t="n">
        <v>1</v>
      </c>
      <c r="D21" s="23" t="n">
        <v>285.99</v>
      </c>
      <c r="E21" s="31" t="n">
        <f aca="false">C21*D21</f>
        <v>285.99</v>
      </c>
    </row>
    <row r="22" customFormat="false" ht="15" hidden="false" customHeight="false" outlineLevel="0" collapsed="false">
      <c r="A22" s="18" t="s">
        <v>171</v>
      </c>
      <c r="B22" s="18" t="s">
        <v>170</v>
      </c>
      <c r="C22" s="24" t="n">
        <v>1</v>
      </c>
      <c r="D22" s="23" t="n">
        <v>700</v>
      </c>
      <c r="E22" s="31" t="n">
        <f aca="false">C22*D22</f>
        <v>700</v>
      </c>
    </row>
    <row r="23" customFormat="false" ht="15" hidden="false" customHeight="false" outlineLevel="0" collapsed="false">
      <c r="A23" s="4" t="s">
        <v>42</v>
      </c>
      <c r="B23" s="4" t="s">
        <v>172</v>
      </c>
      <c r="C23" s="4"/>
      <c r="D23" s="32" t="n">
        <f aca="false">Premissas!$B$8</f>
        <v>0.05</v>
      </c>
      <c r="E23" s="31" t="n">
        <f aca="false">SUM(E6:E22)*D23</f>
        <v>10594.4232284426</v>
      </c>
    </row>
    <row r="24" customFormat="false" ht="15" hidden="false" customHeight="false" outlineLevel="0" collapsed="false">
      <c r="A24" s="28" t="s">
        <v>173</v>
      </c>
      <c r="B24" s="29"/>
      <c r="C24" s="29"/>
      <c r="D24" s="29"/>
      <c r="E24" s="10" t="n">
        <f aca="false">SUM(E6:E23)</f>
        <v>222482.887797295</v>
      </c>
    </row>
    <row r="26" customFormat="false" ht="15" hidden="false" customHeight="false" outlineLevel="0" collapsed="false">
      <c r="A26" s="16" t="s">
        <v>7</v>
      </c>
      <c r="B26" s="17"/>
      <c r="C26" s="17"/>
      <c r="D26" s="17"/>
      <c r="E26" s="17"/>
    </row>
    <row r="27" customFormat="false" ht="15" hidden="false" customHeight="false" outlineLevel="0" collapsed="false">
      <c r="A27" s="18" t="s">
        <v>174</v>
      </c>
      <c r="B27" s="18" t="s">
        <v>175</v>
      </c>
      <c r="C27" s="24" t="n">
        <v>352</v>
      </c>
      <c r="D27" s="5" t="n">
        <f aca="false">Premissas!$B$6</f>
        <v>34.9305521472393</v>
      </c>
      <c r="E27" s="31" t="n">
        <f aca="false">C27*D27</f>
        <v>12295.5543558282</v>
      </c>
    </row>
    <row r="28" customFormat="false" ht="15" hidden="false" customHeight="false" outlineLevel="0" collapsed="false">
      <c r="A28" s="18" t="s">
        <v>176</v>
      </c>
      <c r="B28" s="18" t="s">
        <v>177</v>
      </c>
      <c r="C28" s="24" t="n">
        <v>330</v>
      </c>
      <c r="D28" s="5" t="n">
        <f aca="false">Premissas!$B$6</f>
        <v>34.9305521472393</v>
      </c>
      <c r="E28" s="31" t="n">
        <f aca="false">C28*D28</f>
        <v>11527.082208589</v>
      </c>
    </row>
    <row r="29" customFormat="false" ht="15" hidden="false" customHeight="false" outlineLevel="0" collapsed="false">
      <c r="A29" s="18" t="s">
        <v>178</v>
      </c>
      <c r="B29" s="18" t="s">
        <v>175</v>
      </c>
      <c r="C29" s="24" t="n">
        <v>277</v>
      </c>
      <c r="D29" s="5" t="n">
        <f aca="false">Premissas!$B$6</f>
        <v>34.9305521472393</v>
      </c>
      <c r="E29" s="31" t="n">
        <f aca="false">C29*D29</f>
        <v>9675.76294478529</v>
      </c>
    </row>
    <row r="30" customFormat="false" ht="15" hidden="false" customHeight="false" outlineLevel="0" collapsed="false">
      <c r="A30" s="18" t="s">
        <v>179</v>
      </c>
      <c r="B30" s="18" t="s">
        <v>180</v>
      </c>
      <c r="C30" s="24" t="n">
        <v>88</v>
      </c>
      <c r="D30" s="5" t="n">
        <f aca="false">Premissas!$B$6</f>
        <v>34.9305521472393</v>
      </c>
      <c r="E30" s="31" t="n">
        <f aca="false">C30*D30</f>
        <v>3073.88858895706</v>
      </c>
    </row>
    <row r="31" customFormat="false" ht="15" hidden="false" customHeight="false" outlineLevel="0" collapsed="false">
      <c r="A31" s="18" t="s">
        <v>181</v>
      </c>
      <c r="B31" s="18" t="s">
        <v>182</v>
      </c>
      <c r="C31" s="24" t="n">
        <v>939.375</v>
      </c>
      <c r="D31" s="5" t="n">
        <f aca="false">Premissas!$B$6</f>
        <v>34.9305521472393</v>
      </c>
      <c r="E31" s="31" t="n">
        <f aca="false">C31*D31</f>
        <v>32812.8874233129</v>
      </c>
    </row>
    <row r="32" customFormat="false" ht="15" hidden="false" customHeight="false" outlineLevel="0" collapsed="false">
      <c r="A32" s="18" t="s">
        <v>183</v>
      </c>
      <c r="B32" s="18" t="s">
        <v>184</v>
      </c>
      <c r="C32" s="24" t="n">
        <v>240</v>
      </c>
      <c r="D32" s="5" t="n">
        <f aca="false">Premissas!$B$6</f>
        <v>34.9305521472393</v>
      </c>
      <c r="E32" s="31" t="n">
        <f aca="false">C32*D32</f>
        <v>8383.33251533743</v>
      </c>
    </row>
    <row r="33" customFormat="false" ht="15" hidden="false" customHeight="false" outlineLevel="0" collapsed="false">
      <c r="A33" s="18" t="s">
        <v>185</v>
      </c>
      <c r="B33" s="18" t="s">
        <v>186</v>
      </c>
      <c r="C33" s="24" t="n">
        <v>160</v>
      </c>
      <c r="D33" s="5" t="n">
        <f aca="false">Premissas!$B$7</f>
        <v>24.6575460122699</v>
      </c>
      <c r="E33" s="31" t="n">
        <f aca="false">C33*D33</f>
        <v>3945.20736196318</v>
      </c>
    </row>
    <row r="34" customFormat="false" ht="15" hidden="false" customHeight="false" outlineLevel="0" collapsed="false">
      <c r="A34" s="18" t="s">
        <v>187</v>
      </c>
      <c r="B34" s="18" t="s">
        <v>188</v>
      </c>
      <c r="C34" s="24" t="n">
        <v>16</v>
      </c>
      <c r="D34" s="5" t="n">
        <f aca="false">Premissas!$B$6</f>
        <v>34.9305521472393</v>
      </c>
      <c r="E34" s="31" t="n">
        <f aca="false">C34*D34</f>
        <v>558.888834355829</v>
      </c>
    </row>
    <row r="35" customFormat="false" ht="15" hidden="false" customHeight="false" outlineLevel="0" collapsed="false">
      <c r="A35" s="28" t="s">
        <v>189</v>
      </c>
      <c r="B35" s="29"/>
      <c r="C35" s="33" t="n">
        <f aca="false">SUM(C27:C34)</f>
        <v>2402.375</v>
      </c>
      <c r="D35" s="29"/>
      <c r="E35" s="10" t="n">
        <f aca="false">SUM(E27:E34)</f>
        <v>82272.6042331289</v>
      </c>
    </row>
    <row r="37" customFormat="false" ht="15" hidden="false" customHeight="false" outlineLevel="0" collapsed="false">
      <c r="A37" s="28" t="s">
        <v>190</v>
      </c>
      <c r="B37" s="29"/>
      <c r="C37" s="29"/>
      <c r="D37" s="29"/>
      <c r="E37" s="10" t="n">
        <f aca="false">E24+E35</f>
        <v>304755.492030424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191</v>
      </c>
    </row>
    <row r="2" customFormat="false" ht="42" hidden="false" customHeight="true" outlineLevel="0" collapsed="false">
      <c r="A2" s="2" t="s">
        <v>192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6" t="s">
        <v>193</v>
      </c>
      <c r="B4" s="17"/>
      <c r="C4" s="17"/>
      <c r="D4" s="17"/>
      <c r="E4" s="17"/>
      <c r="F4" s="17"/>
      <c r="G4" s="17"/>
    </row>
    <row r="5" customFormat="false" ht="30" hidden="false" customHeight="true" outlineLevel="0" collapsed="false">
      <c r="A5" s="3" t="s">
        <v>2</v>
      </c>
      <c r="B5" s="3" t="s">
        <v>136</v>
      </c>
      <c r="C5" s="3" t="s">
        <v>137</v>
      </c>
      <c r="D5" s="3" t="s">
        <v>138</v>
      </c>
      <c r="E5" s="3" t="s">
        <v>139</v>
      </c>
      <c r="F5" s="34"/>
      <c r="G5" s="34"/>
    </row>
    <row r="6" customFormat="false" ht="15" hidden="false" customHeight="false" outlineLevel="0" collapsed="false">
      <c r="A6" s="4" t="s">
        <v>194</v>
      </c>
      <c r="B6" s="18" t="s">
        <v>195</v>
      </c>
      <c r="C6" s="35" t="n">
        <f aca="false">Premissas!$B$12</f>
        <v>5000</v>
      </c>
      <c r="D6" s="5" t="n">
        <f aca="false">Premissas!$B$13</f>
        <v>2.87</v>
      </c>
      <c r="E6" s="31" t="n">
        <f aca="false">C6*D6</f>
        <v>14350</v>
      </c>
    </row>
    <row r="7" customFormat="false" ht="15" hidden="false" customHeight="false" outlineLevel="0" collapsed="false">
      <c r="A7" s="4" t="s">
        <v>196</v>
      </c>
      <c r="B7" s="18" t="s">
        <v>197</v>
      </c>
      <c r="C7" s="35" t="n">
        <f aca="false">Premissas!$B$12*Premissas!$B$14/3600</f>
        <v>41.6666666666667</v>
      </c>
      <c r="D7" s="5" t="n">
        <f aca="false">Premissas!$B$6</f>
        <v>34.9305521472393</v>
      </c>
      <c r="E7" s="31" t="n">
        <f aca="false">C7*D7</f>
        <v>1455.43967280164</v>
      </c>
    </row>
    <row r="8" customFormat="false" ht="23.85" hidden="false" customHeight="false" outlineLevel="0" collapsed="false">
      <c r="A8" s="4" t="s">
        <v>198</v>
      </c>
      <c r="B8" s="18" t="s">
        <v>199</v>
      </c>
      <c r="C8" s="35" t="n">
        <f aca="false">ROUNDUP(COUNT(Estações!$C$5:$C$44)*Premissas!$B$15,0)</f>
        <v>88</v>
      </c>
      <c r="D8" s="5" t="n">
        <f aca="false">Premissas!$B$16</f>
        <v>127.54</v>
      </c>
      <c r="E8" s="31" t="n">
        <f aca="false">C8*D8</f>
        <v>11223.52</v>
      </c>
    </row>
    <row r="9" customFormat="false" ht="15" hidden="false" customHeight="false" outlineLevel="0" collapsed="false">
      <c r="A9" s="4" t="s">
        <v>200</v>
      </c>
      <c r="B9" s="18" t="s">
        <v>201</v>
      </c>
      <c r="C9" s="35" t="n">
        <f aca="false">COUNT(Estações!$C$5:$C$44)</f>
        <v>40</v>
      </c>
      <c r="D9" s="5" t="n">
        <f aca="false">Premissas!$B$17</f>
        <v>35</v>
      </c>
      <c r="E9" s="31" t="n">
        <f aca="false">C9*D9</f>
        <v>1400</v>
      </c>
    </row>
    <row r="10" customFormat="false" ht="15" hidden="false" customHeight="false" outlineLevel="0" collapsed="false">
      <c r="A10" s="4" t="s">
        <v>202</v>
      </c>
      <c r="B10" s="18" t="s">
        <v>203</v>
      </c>
      <c r="C10" s="35" t="n">
        <f aca="false">C8*Premissas!$B$18</f>
        <v>132</v>
      </c>
      <c r="D10" s="5" t="n">
        <f aca="false">Premissas!$B$6</f>
        <v>34.9305521472393</v>
      </c>
      <c r="E10" s="31" t="n">
        <f aca="false">C10*D10</f>
        <v>4610.83288343559</v>
      </c>
    </row>
    <row r="11" customFormat="false" ht="15" hidden="false" customHeight="false" outlineLevel="0" collapsed="false">
      <c r="A11" s="28" t="s">
        <v>204</v>
      </c>
      <c r="B11" s="29"/>
      <c r="C11" s="29"/>
      <c r="D11" s="29"/>
      <c r="E11" s="10" t="n">
        <f aca="false">SUM(E6:E10)</f>
        <v>33039.7925562372</v>
      </c>
    </row>
    <row r="12" customFormat="false" ht="15" hidden="false" customHeight="false" outlineLevel="0" collapsed="false">
      <c r="A12" s="4" t="s">
        <v>10</v>
      </c>
      <c r="B12" s="4" t="s">
        <v>205</v>
      </c>
      <c r="C12" s="4"/>
      <c r="D12" s="32" t="n">
        <f aca="false">Premissas!$B$9</f>
        <v>0.1</v>
      </c>
      <c r="E12" s="31" t="n">
        <f aca="false">E11*D12</f>
        <v>3303.97925562372</v>
      </c>
    </row>
    <row r="13" customFormat="false" ht="15" hidden="false" customHeight="false" outlineLevel="0" collapsed="false">
      <c r="A13" s="28" t="s">
        <v>206</v>
      </c>
      <c r="B13" s="29"/>
      <c r="C13" s="29"/>
      <c r="D13" s="29"/>
      <c r="E13" s="10" t="n">
        <f aca="false">E11+E12</f>
        <v>36343.771811861</v>
      </c>
    </row>
    <row r="15" customFormat="false" ht="15" hidden="false" customHeight="false" outlineLevel="0" collapsed="false">
      <c r="A15" s="16" t="s">
        <v>207</v>
      </c>
      <c r="B15" s="17"/>
      <c r="C15" s="17"/>
      <c r="D15" s="17"/>
      <c r="E15" s="17"/>
      <c r="F15" s="17"/>
      <c r="G15" s="17"/>
    </row>
    <row r="16" customFormat="false" ht="42" hidden="false" customHeight="true" outlineLevel="0" collapsed="false">
      <c r="A16" s="3" t="s">
        <v>208</v>
      </c>
      <c r="B16" s="3" t="s">
        <v>209</v>
      </c>
      <c r="C16" s="3" t="s">
        <v>210</v>
      </c>
      <c r="D16" s="3" t="s">
        <v>211</v>
      </c>
      <c r="E16" s="3" t="s">
        <v>212</v>
      </c>
      <c r="F16" s="3" t="s">
        <v>213</v>
      </c>
      <c r="G16" s="3" t="s">
        <v>214</v>
      </c>
    </row>
    <row r="17" customFormat="false" ht="15" hidden="false" customHeight="false" outlineLevel="0" collapsed="false">
      <c r="A17" s="18" t="s">
        <v>215</v>
      </c>
      <c r="B17" s="26" t="n">
        <v>2</v>
      </c>
      <c r="C17" s="36" t="n">
        <f aca="false">ROUND(Premissas!$B$12*B17/COUNT(Estações!$C$5:$C$44),0)</f>
        <v>250</v>
      </c>
      <c r="D17" s="36" t="n">
        <f aca="false">ROUNDUP(B17*Premissas!$B$15,0)</f>
        <v>5</v>
      </c>
      <c r="E17" s="36" t="n">
        <f aca="false">B17</f>
        <v>2</v>
      </c>
      <c r="F17" s="35" t="n">
        <f aca="false">C17*Premissas!$B$14/3600+D17*Premissas!$B$18</f>
        <v>9.58333333333333</v>
      </c>
      <c r="G17" s="31" t="n">
        <f aca="false">(C17*Premissas!$B$13+D17*Premissas!$B$16+E17*Premissas!$B$17+F17*Premissas!$B$6)*(1+Premissas!$B$9)</f>
        <v>1935.94623721881</v>
      </c>
    </row>
    <row r="18" customFormat="false" ht="15" hidden="false" customHeight="false" outlineLevel="0" collapsed="false">
      <c r="A18" s="18" t="s">
        <v>216</v>
      </c>
      <c r="B18" s="26" t="n">
        <v>19</v>
      </c>
      <c r="C18" s="36" t="n">
        <f aca="false">ROUND(Premissas!$B$12*B18/COUNT(Estações!$C$5:$C$44),0)</f>
        <v>2375</v>
      </c>
      <c r="D18" s="36" t="n">
        <f aca="false">ROUNDUP(B18*Premissas!$B$15,0)</f>
        <v>42</v>
      </c>
      <c r="E18" s="36" t="n">
        <f aca="false">B18</f>
        <v>19</v>
      </c>
      <c r="F18" s="35" t="n">
        <f aca="false">C18*Premissas!$B$14/3600+D18*Premissas!$B$18</f>
        <v>82.7916666666667</v>
      </c>
      <c r="G18" s="31" t="n">
        <f aca="false">(C18*Premissas!$B$13+D18*Premissas!$B$16+E18*Premissas!$B$17+F18*Premissas!$B$6)*(1+Premissas!$B$9)</f>
        <v>17302.8774928425</v>
      </c>
    </row>
    <row r="19" customFormat="false" ht="15" hidden="false" customHeight="false" outlineLevel="0" collapsed="false">
      <c r="A19" s="18" t="s">
        <v>217</v>
      </c>
      <c r="B19" s="26" t="n">
        <v>19</v>
      </c>
      <c r="C19" s="36" t="n">
        <f aca="false">ROUND(Premissas!$B$12*B19/COUNT(Estações!$C$5:$C$44),0)</f>
        <v>2375</v>
      </c>
      <c r="D19" s="36" t="n">
        <f aca="false">ROUNDUP(B19*Premissas!$B$15,0)</f>
        <v>42</v>
      </c>
      <c r="E19" s="36" t="n">
        <f aca="false">B19</f>
        <v>19</v>
      </c>
      <c r="F19" s="35" t="n">
        <f aca="false">C19*Premissas!$B$14/3600+D19*Premissas!$B$18</f>
        <v>82.7916666666667</v>
      </c>
      <c r="G19" s="31" t="n">
        <f aca="false">(C19*Premissas!$B$13+D19*Premissas!$B$16+E19*Premissas!$B$17+F19*Premissas!$B$6)*(1+Premissas!$B$9)</f>
        <v>17302.8774928425</v>
      </c>
    </row>
    <row r="20" customFormat="false" ht="15" hidden="false" customHeight="false" outlineLevel="0" collapsed="false">
      <c r="A20" s="28" t="s">
        <v>218</v>
      </c>
      <c r="B20" s="30" t="n">
        <f aca="false">SUM(B17:B19)</f>
        <v>40</v>
      </c>
      <c r="C20" s="30" t="n">
        <f aca="false">SUM(C17:C19)</f>
        <v>5000</v>
      </c>
      <c r="D20" s="30" t="n">
        <f aca="false">SUM(D17:D19)</f>
        <v>89</v>
      </c>
      <c r="E20" s="30" t="n">
        <f aca="false">SUM(E17:E19)</f>
        <v>40</v>
      </c>
      <c r="F20" s="37" t="n">
        <f aca="false">SUM(F17:F19)</f>
        <v>175.166666666667</v>
      </c>
      <c r="G20" s="10" t="n">
        <f aca="false">SUM(G17:G19)</f>
        <v>36541.7012229039</v>
      </c>
    </row>
    <row r="21" customFormat="false" ht="42" hidden="false" customHeight="true" outlineLevel="0" collapsed="false">
      <c r="A21" s="2" t="s">
        <v>219</v>
      </c>
      <c r="B21" s="2"/>
      <c r="C21" s="2"/>
      <c r="D21" s="2"/>
      <c r="E21" s="2"/>
      <c r="F21" s="2"/>
      <c r="G21" s="2"/>
    </row>
    <row r="23" customFormat="false" ht="15" hidden="false" customHeight="false" outlineLevel="0" collapsed="false">
      <c r="A23" s="16" t="s">
        <v>220</v>
      </c>
      <c r="B23" s="17"/>
      <c r="C23" s="17"/>
      <c r="D23" s="17"/>
      <c r="E23" s="17"/>
      <c r="F23" s="17"/>
      <c r="G23" s="17"/>
    </row>
    <row r="24" customFormat="false" ht="30" hidden="false" customHeight="true" outlineLevel="0" collapsed="false">
      <c r="A24" s="3" t="s">
        <v>221</v>
      </c>
      <c r="B24" s="3" t="s">
        <v>33</v>
      </c>
      <c r="C24" s="3" t="s">
        <v>34</v>
      </c>
      <c r="D24" s="34"/>
      <c r="E24" s="34"/>
      <c r="F24" s="34"/>
      <c r="G24" s="34"/>
    </row>
    <row r="25" customFormat="false" ht="15" hidden="false" customHeight="false" outlineLevel="0" collapsed="false">
      <c r="A25" s="4" t="s">
        <v>222</v>
      </c>
      <c r="B25" s="36" t="n">
        <f aca="false">Premissas!$B$21*Premissas!$B$22*Premissas!$B$23</f>
        <v>72000</v>
      </c>
      <c r="C25" s="4" t="s">
        <v>72</v>
      </c>
    </row>
    <row r="26" customFormat="false" ht="15" hidden="false" customHeight="false" outlineLevel="0" collapsed="false">
      <c r="A26" s="4" t="s">
        <v>223</v>
      </c>
      <c r="B26" s="35" t="n">
        <f aca="false">B25*Premissas!$B$24/3600</f>
        <v>30</v>
      </c>
      <c r="C26" s="4" t="s">
        <v>224</v>
      </c>
    </row>
    <row r="27" customFormat="false" ht="15" hidden="false" customHeight="false" outlineLevel="0" collapsed="false">
      <c r="A27" s="4" t="s">
        <v>18</v>
      </c>
      <c r="B27" s="35" t="n">
        <f aca="false">B26*Premissas!$B$25</f>
        <v>660</v>
      </c>
      <c r="C27" s="4" t="s">
        <v>225</v>
      </c>
    </row>
    <row r="28" customFormat="false" ht="15" hidden="false" customHeight="false" outlineLevel="0" collapsed="false">
      <c r="A28" s="4" t="s">
        <v>226</v>
      </c>
      <c r="B28" s="35" t="n">
        <f aca="false">B27/163</f>
        <v>4.04907975460123</v>
      </c>
      <c r="C28" s="4" t="s">
        <v>227</v>
      </c>
    </row>
    <row r="29" customFormat="false" ht="15" hidden="false" customHeight="false" outlineLevel="0" collapsed="false">
      <c r="A29" s="4" t="s">
        <v>20</v>
      </c>
      <c r="B29" s="31" t="n">
        <f aca="false">B27*Premissas!$B$7</f>
        <v>16273.9803680981</v>
      </c>
      <c r="C29" s="4" t="s">
        <v>228</v>
      </c>
    </row>
    <row r="30" customFormat="false" ht="15" hidden="false" customHeight="false" outlineLevel="0" collapsed="false">
      <c r="A30" s="7" t="s">
        <v>229</v>
      </c>
      <c r="B30" s="38" t="n">
        <f aca="false">IF(B29&gt;0,E13/B29,0)</f>
        <v>2.23324417197317</v>
      </c>
      <c r="C30" s="4" t="s">
        <v>230</v>
      </c>
    </row>
    <row r="32" customFormat="false" ht="42" hidden="false" customHeight="true" outlineLevel="0" collapsed="false">
      <c r="A32" s="3" t="s">
        <v>208</v>
      </c>
      <c r="B32" s="3" t="s">
        <v>209</v>
      </c>
      <c r="C32" s="3" t="s">
        <v>231</v>
      </c>
      <c r="D32" s="3" t="s">
        <v>232</v>
      </c>
      <c r="E32" s="3" t="s">
        <v>233</v>
      </c>
      <c r="F32" s="3" t="s">
        <v>234</v>
      </c>
      <c r="G32" s="34"/>
    </row>
    <row r="33" customFormat="false" ht="15" hidden="false" customHeight="false" outlineLevel="0" collapsed="false">
      <c r="A33" s="18" t="s">
        <v>215</v>
      </c>
      <c r="B33" s="36" t="n">
        <f aca="false">B17</f>
        <v>2</v>
      </c>
      <c r="C33" s="31" t="n">
        <f aca="false">SUM($G$17:G17)</f>
        <v>1935.94623721881</v>
      </c>
      <c r="D33" s="31" t="n">
        <f aca="false">$B$29*B33/COUNT(Estações!$C$5:$C$44)</f>
        <v>813.699018404907</v>
      </c>
      <c r="E33" s="31" t="n">
        <f aca="false">SUM($D$33:D33)</f>
        <v>813.699018404907</v>
      </c>
      <c r="F33" s="35" t="n">
        <f aca="false">IF(D33&gt;0,G17/D33,0)</f>
        <v>2.37919205188897</v>
      </c>
    </row>
    <row r="34" customFormat="false" ht="15" hidden="false" customHeight="false" outlineLevel="0" collapsed="false">
      <c r="A34" s="18" t="s">
        <v>216</v>
      </c>
      <c r="B34" s="36" t="n">
        <f aca="false">B18</f>
        <v>19</v>
      </c>
      <c r="C34" s="31" t="n">
        <f aca="false">SUM($G$17:G18)</f>
        <v>19238.8237300614</v>
      </c>
      <c r="D34" s="31" t="n">
        <f aca="false">$B$29*B34/COUNT(Estações!$C$5:$C$44)</f>
        <v>7730.14067484661</v>
      </c>
      <c r="E34" s="31" t="n">
        <f aca="false">SUM($D$33:D34)</f>
        <v>8543.83969325152</v>
      </c>
      <c r="F34" s="35" t="n">
        <f aca="false">IF(D34&gt;0,G18/D34,0)</f>
        <v>2.23836515021583</v>
      </c>
    </row>
    <row r="35" customFormat="false" ht="15" hidden="false" customHeight="false" outlineLevel="0" collapsed="false">
      <c r="A35" s="18" t="s">
        <v>217</v>
      </c>
      <c r="B35" s="36" t="n">
        <f aca="false">B19</f>
        <v>19</v>
      </c>
      <c r="C35" s="31" t="n">
        <f aca="false">SUM($G$17:G19)</f>
        <v>36541.7012229039</v>
      </c>
      <c r="D35" s="31" t="n">
        <f aca="false">$B$29*B35/COUNT(Estações!$C$5:$C$44)</f>
        <v>7730.14067484661</v>
      </c>
      <c r="E35" s="31" t="n">
        <f aca="false">SUM($D$33:D35)</f>
        <v>16273.9803680981</v>
      </c>
      <c r="F35" s="35" t="n">
        <f aca="false">IF(D35&gt;0,G19/D35,0)</f>
        <v>2.23836515021583</v>
      </c>
    </row>
    <row r="36" customFormat="false" ht="27.75" hidden="false" customHeight="true" outlineLevel="0" collapsed="false">
      <c r="A36" s="2" t="s">
        <v>235</v>
      </c>
      <c r="B36" s="2"/>
      <c r="C36" s="2"/>
      <c r="D36" s="2"/>
      <c r="E36" s="2"/>
      <c r="F36" s="2"/>
      <c r="G36" s="2"/>
    </row>
  </sheetData>
  <mergeCells count="3">
    <mergeCell ref="A2:G2"/>
    <mergeCell ref="A21:G21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2026-10-27T01:41:18Z</dcterms:created>
  <dc:creator>openpyxl</dc:creator>
  <dc:description/>
  <dc:language>en-US</dc:language>
  <cp:lastModifiedBy/>
  <dcterms:modified xsi:type="dcterms:W3CDTF">2026-10-27T01:41:18Z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