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Estações" sheetId="3" state="visible" r:id="rId5"/>
    <sheet name="Fase 1 - Bancada" sheetId="4" state="visible" r:id="rId6"/>
    <sheet name="Fase 2 - Estações" sheetId="5" state="visible" r:id="rId7"/>
    <sheet name="Softwa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<sst xmlns="http://schemas.openxmlformats.org/spreadsheetml/2006/main" count="179" uniqueCount="162">
  <si>
    <t xml:space="preserve">POC Pick-to-Light: bancada + estações 04 e 27</t>
  </si>
  <si>
    <t xml:space="preserve">Arquitetura A (módulos próprios 12 V, barramento RS-485), confirmação pelo coletor. Leitor fixo fora do projeto; identificação por RFID fica como melhoria futura.</t>
  </si>
  <si>
    <t xml:space="preserve">Item</t>
  </si>
  <si>
    <t xml:space="preserve">Valor</t>
  </si>
  <si>
    <t xml:space="preserve">Observação</t>
  </si>
  <si>
    <t xml:space="preserve">Fase 1, bancada</t>
  </si>
  <si>
    <t xml:space="preserve">compra das peças, montagem e testes de bancada</t>
  </si>
  <si>
    <t xml:space="preserve">Fase 2, estações 04 e 27</t>
  </si>
  <si>
    <t xml:space="preserve">materiais, instalação e treinamento, menos o que veio da bancada</t>
  </si>
  <si>
    <t xml:space="preserve">Hardware da POC</t>
  </si>
  <si>
    <t xml:space="preserve">Contingência</t>
  </si>
  <si>
    <t xml:space="preserve">percentual na aba Premissas</t>
  </si>
  <si>
    <t xml:space="preserve">HARDWARE DA POC COM CONTINGÊNCIA (desembolso)</t>
  </si>
  <si>
    <t xml:space="preserve">valor para aprovação</t>
  </si>
  <si>
    <t xml:space="preserve">Software da POC (horas da equipe interna)</t>
  </si>
  <si>
    <t xml:space="preserve">não é desembolso; é a primeira parte do software do projeto</t>
  </si>
  <si>
    <t xml:space="preserve">Software da POC (custo interno)</t>
  </si>
  <si>
    <t xml:space="preserve">Prazo estimado</t>
  </si>
  <si>
    <t xml:space="preserve">Fase 1: compra, montagem, firmware e testes de bancada</t>
  </si>
  <si>
    <t xml:space="preserve">3 a 4 semanas</t>
  </si>
  <si>
    <t xml:space="preserve">Fase 2: instalação nas estações 04 e 27</t>
  </si>
  <si>
    <t xml:space="preserve">1 semana</t>
  </si>
  <si>
    <t xml:space="preserve">Operação assistida: medição de erro e caixas por hora</t>
  </si>
  <si>
    <t xml:space="preserve">4 semanas</t>
  </si>
  <si>
    <t xml:space="preserve">Decisão sobre as 40 estações</t>
  </si>
  <si>
    <t xml:space="preserve">semana 10</t>
  </si>
  <si>
    <t xml:space="preserve">Abas: Fase 1 - Bancada · Fase 2 - Estações · Software · Premissas (entradas em azul). Valores em reais, preços de mercado pesquisados em outubro de 2026.</t>
  </si>
  <si>
    <t xml:space="preserve">Premissas da POC</t>
  </si>
  <si>
    <t xml:space="preserve">Células em azul são entradas; as de fundo amarelo são as premissas principais. Os valores vêm do orçamento completo (Orcamento_PTL.xlsx) e podem ser alterados aqui.</t>
  </si>
  <si>
    <t xml:space="preserve">Premissa</t>
  </si>
  <si>
    <t xml:space="preserve">Origem / observação</t>
  </si>
  <si>
    <t xml:space="preserve">Custo da hora da equipe interna (R$/h)</t>
  </si>
  <si>
    <t xml:space="preserve">salário + encargos de técnico de manutenção ÷ horas produtivas (aba Premissas do orçamento completo)</t>
  </si>
  <si>
    <t xml:space="preserve">Custo da hora do operador (R$/h)</t>
  </si>
  <si>
    <t xml:space="preserve">usado no treinamento dos operadores</t>
  </si>
  <si>
    <t xml:space="preserve">Custo da hora de desenvolvimento (R$/h)</t>
  </si>
  <si>
    <t xml:space="preserve">equipe interna de TI (aba Software do orçamento completo)</t>
  </si>
  <si>
    <t xml:space="preserve">Frete das compras (% sobre os itens)</t>
  </si>
  <si>
    <t xml:space="preserve">estimativa média de frete de e-commerce</t>
  </si>
  <si>
    <t xml:space="preserve">Contingência (% sobre o hardware)</t>
  </si>
  <si>
    <t xml:space="preserve">reserva para itens não previstos na POC</t>
  </si>
  <si>
    <t xml:space="preserve">Estações da POC</t>
  </si>
  <si>
    <t xml:space="preserve">Estação 04 · Medicamento</t>
  </si>
  <si>
    <t xml:space="preserve">Estação 27 · Perfumaria</t>
  </si>
  <si>
    <t xml:space="preserve">Total de endereços</t>
  </si>
  <si>
    <t xml:space="preserve">Módulos Q (alto giro 0-3)</t>
  </si>
  <si>
    <t xml:space="preserve">Endereços alto giro 4-5</t>
  </si>
  <si>
    <t xml:space="preserve">E+Q alto giro 4-5 (2 zonas)</t>
  </si>
  <si>
    <t xml:space="preserve">Endereços baixo giro</t>
  </si>
  <si>
    <t xml:space="preserve">Zonas baixo giro (E+Q)</t>
  </si>
  <si>
    <t xml:space="preserve">Nós de coluna</t>
  </si>
  <si>
    <t xml:space="preserve">Concentrador</t>
  </si>
  <si>
    <t xml:space="preserve">Fonte: tabela wms_endereco de 23/10/2026. As quantidades de compra do piloto incluem 10% de reserva (arredondado para cima), como no orçamento completo.</t>
  </si>
  <si>
    <t xml:space="preserve">Fase 1: bancada de testes</t>
  </si>
  <si>
    <t xml:space="preserve">1 coluna de alto giro e 1 zona de cada tipo, montada em painel de MDF. Valida hardware, firmware e software antes de entrar nas estações.</t>
  </si>
  <si>
    <t xml:space="preserve">Base de cálculo</t>
  </si>
  <si>
    <t xml:space="preserve">Qtd</t>
  </si>
  <si>
    <t xml:space="preserve">Preço unit. (R$)</t>
  </si>
  <si>
    <t xml:space="preserve">Total (R$)</t>
  </si>
  <si>
    <t xml:space="preserve">Concentrador 12 V completo</t>
  </si>
  <si>
    <t xml:space="preserve">gabinete, fonte, placa, alimentação</t>
  </si>
  <si>
    <t xml:space="preserve">Nó de coluna</t>
  </si>
  <si>
    <t xml:space="preserve">1 prédio de alto giro</t>
  </si>
  <si>
    <t xml:space="preserve">Módulos Q</t>
  </si>
  <si>
    <t xml:space="preserve">4 andares (0 a 3) do prédio</t>
  </si>
  <si>
    <t xml:space="preserve">Módulos E+Q</t>
  </si>
  <si>
    <t xml:space="preserve">1 zona dos andares 4-5 + 1 zona do baixo giro</t>
  </si>
  <si>
    <t xml:space="preserve">Sinal luminoso de baixo giro</t>
  </si>
  <si>
    <t xml:space="preserve">barra âmbar</t>
  </si>
  <si>
    <t xml:space="preserve">Cabo Cat5e (m)</t>
  </si>
  <si>
    <t xml:space="preserve">barramento e ligações da bancada</t>
  </si>
  <si>
    <t xml:space="preserve">Plugs RJ45</t>
  </si>
  <si>
    <t xml:space="preserve">Painel de MDF com longarina</t>
  </si>
  <si>
    <t xml:space="preserve">simula a prateleira</t>
  </si>
  <si>
    <t xml:space="preserve">Switch 5 portas</t>
  </si>
  <si>
    <t xml:space="preserve">rede da bancada</t>
  </si>
  <si>
    <t xml:space="preserve">Ferramentas de rede (crimpar e testar)</t>
  </si>
  <si>
    <t xml:space="preserve">compra única, servem para a fase 2</t>
  </si>
  <si>
    <t xml:space="preserve">Bancada de eletrônica (solda, multímetro)</t>
  </si>
  <si>
    <t xml:space="preserve">compra única, serve para a fase 2</t>
  </si>
  <si>
    <t xml:space="preserve">Frete das compras</t>
  </si>
  <si>
    <t xml:space="preserve">% sobre os itens acima (aba Premissas)</t>
  </si>
  <si>
    <t xml:space="preserve">Montagem dos módulos (h)</t>
  </si>
  <si>
    <t xml:space="preserve">conc. + nó + 4 Q + 2 E+Q</t>
  </si>
  <si>
    <t xml:space="preserve">Testes de bancada (h)</t>
  </si>
  <si>
    <t xml:space="preserve">acender, confirmar, falha, troca e cadastro de LED, 48 h de operação contínua</t>
  </si>
  <si>
    <t xml:space="preserve">TOTAL FASE 1, bancada</t>
  </si>
  <si>
    <t xml:space="preserve">Quantidades das duas estações juntas (com reserva). O concentrador, o nó e os módulos da bancada são reaproveitados na estação 04, e as ferramentas já foram compradas na fase 1: os dois são descontados no fim.</t>
  </si>
  <si>
    <t xml:space="preserve">Materiais e infraestrutura</t>
  </si>
  <si>
    <t xml:space="preserve">endereços alto giro 0-3 × (1 + reserva)</t>
  </si>
  <si>
    <t xml:space="preserve">Nós de coluna (alto giro)</t>
  </si>
  <si>
    <t xml:space="preserve">prédios do alto giro × (1 + reserva)</t>
  </si>
  <si>
    <t xml:space="preserve">Módulos E+Q (A4/A5 + zonas baixo giro)</t>
  </si>
  <si>
    <t xml:space="preserve">displays E+Q × (1 + reserva)</t>
  </si>
  <si>
    <t xml:space="preserve">Concentradores 12 V</t>
  </si>
  <si>
    <t xml:space="preserve">1 por estação × (1 + reserva)</t>
  </si>
  <si>
    <t xml:space="preserve">Cabo de barramento Cat5e (m)</t>
  </si>
  <si>
    <t xml:space="preserve">segmentos × m por segmento + 2 saídas × m de saída por estação</t>
  </si>
  <si>
    <t xml:space="preserve">Plugs RJ45 do barramento</t>
  </si>
  <si>
    <t xml:space="preserve">2 por segmento + 4 por estação (saídas)</t>
  </si>
  <si>
    <t xml:space="preserve">Canaleta / perfil de fixação (m)</t>
  </si>
  <si>
    <t xml:space="preserve">prédios alto giro × (largura × linhas + descida) + 2 lados × corredor + travessia, por estação</t>
  </si>
  <si>
    <t xml:space="preserve">Fixações diversas</t>
  </si>
  <si>
    <t xml:space="preserve">1 kit por estação</t>
  </si>
  <si>
    <t xml:space="preserve">1 por estação, ao lado da posição de pega</t>
  </si>
  <si>
    <t xml:space="preserve">Cabo de rede até a estação (m)</t>
  </si>
  <si>
    <t xml:space="preserve">metros por estação</t>
  </si>
  <si>
    <t xml:space="preserve">Switch 24 portas</t>
  </si>
  <si>
    <t xml:space="preserve">estações ÷ portas por switch (arredondado para cima)</t>
  </si>
  <si>
    <t xml:space="preserve">Nobreak do switch</t>
  </si>
  <si>
    <t xml:space="preserve">1 por switch</t>
  </si>
  <si>
    <t xml:space="preserve">Mini rack de parede do switch</t>
  </si>
  <si>
    <t xml:space="preserve">Cabo de uplink até a rede corporativa (m)</t>
  </si>
  <si>
    <t xml:space="preserve">switches × m de uplink</t>
  </si>
  <si>
    <t xml:space="preserve">Pontos de tomada 220 V novos</t>
  </si>
  <si>
    <t xml:space="preserve">estações × % sem tomada próxima (arredondado para cima)</t>
  </si>
  <si>
    <t xml:space="preserve">1 kit (compra única)</t>
  </si>
  <si>
    <t xml:space="preserve">% sobre os materiais acima (aba Premissas)</t>
  </si>
  <si>
    <t xml:space="preserve">Subtotal materiais</t>
  </si>
  <si>
    <t xml:space="preserve">Mão de obra interna e treinamento</t>
  </si>
  <si>
    <t xml:space="preserve">Montagem Módulos Q (h)</t>
  </si>
  <si>
    <t xml:space="preserve">módulos × h/un</t>
  </si>
  <si>
    <t xml:space="preserve">Montagem Nós de coluna (h)</t>
  </si>
  <si>
    <t xml:space="preserve">nós × h/un</t>
  </si>
  <si>
    <t xml:space="preserve">Montagem Módulos E+Q (h)</t>
  </si>
  <si>
    <t xml:space="preserve">Montagem Concentradores (h)</t>
  </si>
  <si>
    <t xml:space="preserve">concentradores × h/un</t>
  </si>
  <si>
    <t xml:space="preserve">Instalação nas estações (h)</t>
  </si>
  <si>
    <t xml:space="preserve">(fixo por estação + Q + nós + E+Q + canaleta) × fator hora extra</t>
  </si>
  <si>
    <t xml:space="preserve">Testes e comissionamento (h)</t>
  </si>
  <si>
    <t xml:space="preserve">estações × h/estação × fator hora extra</t>
  </si>
  <si>
    <t xml:space="preserve">Treinamento dos operadores (h)</t>
  </si>
  <si>
    <t xml:space="preserve">estações × turnos × h por operador</t>
  </si>
  <si>
    <t xml:space="preserve">Treinamento da manutenção (h)</t>
  </si>
  <si>
    <t xml:space="preserve">total da equipe</t>
  </si>
  <si>
    <t xml:space="preserve">Subtotal mão de obra e treinamento</t>
  </si>
  <si>
    <t xml:space="preserve">Descontos (já comprados na fase 1)</t>
  </si>
  <si>
    <t xml:space="preserve">(−) Ferramentas já compradas na fase 1</t>
  </si>
  <si>
    <t xml:space="preserve">kit de rede + bancada de eletrônica, com frete</t>
  </si>
  <si>
    <t xml:space="preserve">(−) Módulos da bancada reaproveitados na estação 04</t>
  </si>
  <si>
    <t xml:space="preserve">concentrador, nó, 4 módulos Q e 2 E+Q</t>
  </si>
  <si>
    <t xml:space="preserve">TOTAL FASE 2, estações 04 e 27</t>
  </si>
  <si>
    <t xml:space="preserve">Software da POC (equipe interna, versão mínima)</t>
  </si>
  <si>
    <t xml:space="preserve">Horas da equipe interna. É a primeira parte do software do projeto completo, não um custo a mais; não entra no desembolso de hardware.</t>
  </si>
  <si>
    <t xml:space="preserve">Entrega</t>
  </si>
  <si>
    <t xml:space="preserve">O que inclui</t>
  </si>
  <si>
    <t xml:space="preserve">Horas</t>
  </si>
  <si>
    <t xml:space="preserve">R$/h</t>
  </si>
  <si>
    <t xml:space="preserve">Custo (R$)</t>
  </si>
  <si>
    <t xml:space="preserve">Firmware do concentrador, dos nós e dos E+Q</t>
  </si>
  <si>
    <t xml:space="preserve">barramento, endereçamento, diagnóstico, cadastro</t>
  </si>
  <si>
    <t xml:space="preserve">Serviço PTL, versão mínima</t>
  </si>
  <si>
    <t xml:space="preserve">abrir e fechar caixa, acender, confirmar, sinal de baixo giro</t>
  </si>
  <si>
    <t xml:space="preserve">Integração Sybase (leitura dos itens da caixa)</t>
  </si>
  <si>
    <t xml:space="preserve">views de leitura e gravação de eventos</t>
  </si>
  <si>
    <t xml:space="preserve">App do coletor (A1), versão mínima</t>
  </si>
  <si>
    <t xml:space="preserve">leitura com gatilho e progresso da caixa</t>
  </si>
  <si>
    <t xml:space="preserve">Interface de controle, versão mínima</t>
  </si>
  <si>
    <t xml:space="preserve">falhas de LED e cadastro por endereço</t>
  </si>
  <si>
    <t xml:space="preserve">Testes da bancada e operação assistida</t>
  </si>
  <si>
    <t xml:space="preserve">ajustes durante a POC</t>
  </si>
  <si>
    <t xml:space="preserve">TOTAL SOFTWARE DA POC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</si>
</sst>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#,##0&quot; h&quot;"/>
    <numFmt numFmtId="167" formatCode="0.0%;\(0.0%\);\-"/>
    <numFmt numFmtId="168" formatCode="#,##0.##;\(#,##0.##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'Fase 1 - Bancada'!E19</f>
        <v>3374.81823520655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'Fase 2 - Estações'!E40</f>
        <v>16847.0121930606</v>
      </c>
      <c r="C6" s="6" t="s">
        <v>8</v>
      </c>
    </row>
    <row r="7" customFormat="false" ht="15" hidden="false" customHeight="false" outlineLevel="0" collapsed="false">
      <c r="A7" s="7" t="s">
        <v>9</v>
      </c>
      <c r="B7" s="8" t="n">
        <f aca="false">B5+B6</f>
        <v>20221.8304282671</v>
      </c>
      <c r="C7" s="6"/>
    </row>
    <row r="8" customFormat="false" ht="15" hidden="false" customHeight="false" outlineLevel="0" collapsed="false">
      <c r="A8" s="4" t="s">
        <v>10</v>
      </c>
      <c r="B8" s="5" t="n">
        <f aca="false">B7*Premissas!$B$9</f>
        <v>2022.18304282671</v>
      </c>
      <c r="C8" s="6" t="s">
        <v>11</v>
      </c>
    </row>
    <row r="9" customFormat="false" ht="15" hidden="false" customHeight="false" outlineLevel="0" collapsed="false">
      <c r="A9" s="9" t="s">
        <v>12</v>
      </c>
      <c r="B9" s="10" t="n">
        <f aca="false">B7+B8</f>
        <v>22244.0134710938</v>
      </c>
      <c r="C9" s="11" t="s">
        <v>13</v>
      </c>
    </row>
    <row r="11" customFormat="false" ht="15" hidden="false" customHeight="false" outlineLevel="0" collapsed="false">
      <c r="A11" s="4" t="s">
        <v>14</v>
      </c>
      <c r="B11" s="12" t="n">
        <f aca="false">Software!C11</f>
        <v>600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5" t="n">
        <f aca="false">Software!E11</f>
        <v>62269.693251534</v>
      </c>
      <c r="C12" s="4"/>
    </row>
    <row r="14" customFormat="false" ht="15" hidden="false" customHeight="false" outlineLevel="0" collapsed="false">
      <c r="A14" s="13" t="s">
        <v>17</v>
      </c>
    </row>
    <row r="15" customFormat="false" ht="15" hidden="false" customHeight="false" outlineLevel="0" collapsed="false">
      <c r="A15" s="4" t="s">
        <v>18</v>
      </c>
      <c r="B15" s="14" t="s">
        <v>19</v>
      </c>
    </row>
    <row r="16" customFormat="false" ht="15" hidden="false" customHeight="false" outlineLevel="0" collapsed="false">
      <c r="A16" s="4" t="s">
        <v>20</v>
      </c>
      <c r="B16" s="14" t="s">
        <v>21</v>
      </c>
    </row>
    <row r="17" customFormat="false" ht="15" hidden="false" customHeight="false" outlineLevel="0" collapsed="false">
      <c r="A17" s="4" t="s">
        <v>22</v>
      </c>
      <c r="B17" s="14" t="s">
        <v>23</v>
      </c>
    </row>
    <row r="18" customFormat="false" ht="15" hidden="false" customHeight="false" outlineLevel="0" collapsed="false">
      <c r="A18" s="4" t="s">
        <v>24</v>
      </c>
      <c r="B18" s="14" t="s">
        <v>25</v>
      </c>
    </row>
    <row r="20" customFormat="false" ht="27.75" hidden="false" customHeight="true" outlineLevel="0" collapsed="false">
      <c r="A20" s="2" t="s">
        <v>26</v>
      </c>
      <c r="B20" s="2"/>
      <c r="C20" s="2"/>
    </row>
  </sheetData>
  <mergeCells count="2">
    <mergeCell ref="A2:C2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</v>
      </c>
    </row>
    <row r="2" customFormat="false" ht="27.75" hidden="false" customHeight="true" outlineLevel="0" collapsed="false">
      <c r="A2" s="2" t="s">
        <v>28</v>
      </c>
      <c r="B2" s="2"/>
      <c r="C2" s="2"/>
    </row>
    <row r="4" customFormat="false" ht="30" hidden="false" customHeight="true" outlineLevel="0" collapsed="false">
      <c r="A4" s="3" t="s">
        <v>29</v>
      </c>
      <c r="B4" s="3" t="s">
        <v>3</v>
      </c>
      <c r="C4" s="3" t="s">
        <v>30</v>
      </c>
    </row>
    <row r="5" customFormat="false" ht="22.35" hidden="false" customHeight="false" outlineLevel="0" collapsed="false">
      <c r="A5" s="4" t="s">
        <v>31</v>
      </c>
      <c r="B5" s="15" t="n">
        <v>34.9305521472393</v>
      </c>
      <c r="C5" s="6" t="s">
        <v>32</v>
      </c>
    </row>
    <row r="6" customFormat="false" ht="15" hidden="false" customHeight="false" outlineLevel="0" collapsed="false">
      <c r="A6" s="4" t="s">
        <v>33</v>
      </c>
      <c r="B6" s="16" t="n">
        <v>24.6575460122699</v>
      </c>
      <c r="C6" s="6" t="s">
        <v>34</v>
      </c>
    </row>
    <row r="7" customFormat="false" ht="15" hidden="false" customHeight="false" outlineLevel="0" collapsed="false">
      <c r="A7" s="4" t="s">
        <v>35</v>
      </c>
      <c r="B7" s="16" t="n">
        <v>103.78282208589</v>
      </c>
      <c r="C7" s="6" t="s">
        <v>36</v>
      </c>
    </row>
    <row r="8" customFormat="false" ht="15" hidden="false" customHeight="false" outlineLevel="0" collapsed="false">
      <c r="A8" s="4" t="s">
        <v>37</v>
      </c>
      <c r="B8" s="17" t="n">
        <v>0.05</v>
      </c>
      <c r="C8" s="6" t="s">
        <v>38</v>
      </c>
    </row>
    <row r="9" customFormat="false" ht="15" hidden="false" customHeight="false" outlineLevel="0" collapsed="false">
      <c r="A9" s="4" t="s">
        <v>39</v>
      </c>
      <c r="B9" s="18" t="n">
        <v>0.1</v>
      </c>
      <c r="C9" s="6" t="s">
        <v>40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6"/>
  </cols>
  <sheetData>
    <row r="1" customFormat="false" ht="17.35" hidden="false" customHeight="false" outlineLevel="0" collapsed="false">
      <c r="A1" s="1" t="s">
        <v>41</v>
      </c>
    </row>
    <row r="3" customFormat="false" ht="30" hidden="false" customHeight="true" outlineLevel="0" collapsed="false">
      <c r="A3" s="3" t="s">
        <v>2</v>
      </c>
      <c r="B3" s="3" t="s">
        <v>42</v>
      </c>
      <c r="C3" s="3" t="s">
        <v>43</v>
      </c>
    </row>
    <row r="4" customFormat="false" ht="15" hidden="false" customHeight="false" outlineLevel="0" collapsed="false">
      <c r="A4" s="4" t="s">
        <v>44</v>
      </c>
      <c r="B4" s="19" t="n">
        <v>201</v>
      </c>
      <c r="C4" s="19" t="n">
        <v>181</v>
      </c>
    </row>
    <row r="5" customFormat="false" ht="15" hidden="false" customHeight="false" outlineLevel="0" collapsed="false">
      <c r="A5" s="4" t="s">
        <v>45</v>
      </c>
      <c r="B5" s="19" t="n">
        <v>29</v>
      </c>
      <c r="C5" s="19" t="n">
        <v>35</v>
      </c>
    </row>
    <row r="6" customFormat="false" ht="15" hidden="false" customHeight="false" outlineLevel="0" collapsed="false">
      <c r="A6" s="4" t="s">
        <v>46</v>
      </c>
      <c r="B6" s="19" t="n">
        <v>16</v>
      </c>
      <c r="C6" s="19" t="n">
        <v>15</v>
      </c>
    </row>
    <row r="7" customFormat="false" ht="15" hidden="false" customHeight="false" outlineLevel="0" collapsed="false">
      <c r="A7" s="4" t="s">
        <v>47</v>
      </c>
      <c r="B7" s="19" t="n">
        <v>2</v>
      </c>
      <c r="C7" s="19" t="n">
        <v>2</v>
      </c>
    </row>
    <row r="8" customFormat="false" ht="15" hidden="false" customHeight="false" outlineLevel="0" collapsed="false">
      <c r="A8" s="4" t="s">
        <v>48</v>
      </c>
      <c r="B8" s="19" t="n">
        <v>156</v>
      </c>
      <c r="C8" s="19" t="n">
        <v>131</v>
      </c>
    </row>
    <row r="9" customFormat="false" ht="15" hidden="false" customHeight="false" outlineLevel="0" collapsed="false">
      <c r="A9" s="4" t="s">
        <v>49</v>
      </c>
      <c r="B9" s="19" t="n">
        <v>4</v>
      </c>
      <c r="C9" s="19" t="n">
        <v>4</v>
      </c>
    </row>
    <row r="10" customFormat="false" ht="15" hidden="false" customHeight="false" outlineLevel="0" collapsed="false">
      <c r="A10" s="4" t="s">
        <v>50</v>
      </c>
      <c r="B10" s="19" t="n">
        <v>10</v>
      </c>
      <c r="C10" s="19" t="n">
        <v>10</v>
      </c>
    </row>
    <row r="11" customFormat="false" ht="15" hidden="false" customHeight="false" outlineLevel="0" collapsed="false">
      <c r="A11" s="4" t="s">
        <v>51</v>
      </c>
      <c r="B11" s="19" t="n">
        <v>1</v>
      </c>
      <c r="C11" s="19" t="n">
        <v>1</v>
      </c>
    </row>
    <row r="13" customFormat="false" ht="27.75" hidden="false" customHeight="true" outlineLevel="0" collapsed="false">
      <c r="A13" s="2" t="s">
        <v>52</v>
      </c>
      <c r="B13" s="2"/>
      <c r="C13" s="2"/>
    </row>
  </sheetData>
  <mergeCells count="1"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53</v>
      </c>
    </row>
    <row r="2" customFormat="false" ht="27.75" hidden="false" customHeight="true" outlineLevel="0" collapsed="false">
      <c r="A2" s="2" t="s">
        <v>54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</row>
    <row r="5" customFormat="false" ht="15" hidden="false" customHeight="false" outlineLevel="0" collapsed="false">
      <c r="A5" s="20" t="s">
        <v>59</v>
      </c>
      <c r="B5" s="20" t="s">
        <v>60</v>
      </c>
      <c r="C5" s="21" t="n">
        <v>1</v>
      </c>
      <c r="D5" s="16" t="n">
        <v>673.739525</v>
      </c>
      <c r="E5" s="22" t="n">
        <f aca="false">C5*D5</f>
        <v>673.739525</v>
      </c>
    </row>
    <row r="6" customFormat="false" ht="15" hidden="false" customHeight="false" outlineLevel="0" collapsed="false">
      <c r="A6" s="20" t="s">
        <v>61</v>
      </c>
      <c r="B6" s="20" t="s">
        <v>62</v>
      </c>
      <c r="C6" s="21" t="n">
        <v>1</v>
      </c>
      <c r="D6" s="16" t="n">
        <v>104.42</v>
      </c>
      <c r="E6" s="22" t="n">
        <f aca="false">C6*D6</f>
        <v>104.42</v>
      </c>
    </row>
    <row r="7" customFormat="false" ht="15" hidden="false" customHeight="false" outlineLevel="0" collapsed="false">
      <c r="A7" s="20" t="s">
        <v>63</v>
      </c>
      <c r="B7" s="20" t="s">
        <v>64</v>
      </c>
      <c r="C7" s="21" t="n">
        <v>4</v>
      </c>
      <c r="D7" s="16" t="n">
        <v>47.8850459016393</v>
      </c>
      <c r="E7" s="22" t="n">
        <f aca="false">C7*D7</f>
        <v>191.540183606557</v>
      </c>
    </row>
    <row r="8" customFormat="false" ht="15" hidden="false" customHeight="false" outlineLevel="0" collapsed="false">
      <c r="A8" s="20" t="s">
        <v>65</v>
      </c>
      <c r="B8" s="20" t="s">
        <v>66</v>
      </c>
      <c r="C8" s="21" t="n">
        <v>2</v>
      </c>
      <c r="D8" s="16" t="n">
        <v>138.31</v>
      </c>
      <c r="E8" s="22" t="n">
        <f aca="false">C8*D8</f>
        <v>276.62</v>
      </c>
    </row>
    <row r="9" customFormat="false" ht="15" hidden="false" customHeight="false" outlineLevel="0" collapsed="false">
      <c r="A9" s="20" t="s">
        <v>67</v>
      </c>
      <c r="B9" s="20" t="s">
        <v>68</v>
      </c>
      <c r="C9" s="21" t="n">
        <v>1</v>
      </c>
      <c r="D9" s="16" t="n">
        <v>25.611</v>
      </c>
      <c r="E9" s="22" t="n">
        <f aca="false">C9*D9</f>
        <v>25.611</v>
      </c>
    </row>
    <row r="10" customFormat="false" ht="15" hidden="false" customHeight="false" outlineLevel="0" collapsed="false">
      <c r="A10" s="20" t="s">
        <v>69</v>
      </c>
      <c r="B10" s="20" t="s">
        <v>70</v>
      </c>
      <c r="C10" s="21" t="n">
        <v>20</v>
      </c>
      <c r="D10" s="16" t="n">
        <v>2.62262295081967</v>
      </c>
      <c r="E10" s="22" t="n">
        <f aca="false">C10*D10</f>
        <v>52.4524590163934</v>
      </c>
    </row>
    <row r="11" customFormat="false" ht="15" hidden="false" customHeight="false" outlineLevel="0" collapsed="false">
      <c r="A11" s="20" t="s">
        <v>71</v>
      </c>
      <c r="B11" s="20"/>
      <c r="C11" s="21" t="n">
        <v>20</v>
      </c>
      <c r="D11" s="16" t="n">
        <v>0.7099</v>
      </c>
      <c r="E11" s="22" t="n">
        <f aca="false">C11*D11</f>
        <v>14.198</v>
      </c>
    </row>
    <row r="12" customFormat="false" ht="15" hidden="false" customHeight="false" outlineLevel="0" collapsed="false">
      <c r="A12" s="20" t="s">
        <v>72</v>
      </c>
      <c r="B12" s="20" t="s">
        <v>73</v>
      </c>
      <c r="C12" s="21" t="n">
        <v>1</v>
      </c>
      <c r="D12" s="16" t="n">
        <v>66.66</v>
      </c>
      <c r="E12" s="22" t="n">
        <f aca="false">C12*D12</f>
        <v>66.66</v>
      </c>
    </row>
    <row r="13" customFormat="false" ht="15" hidden="false" customHeight="false" outlineLevel="0" collapsed="false">
      <c r="A13" s="20" t="s">
        <v>74</v>
      </c>
      <c r="B13" s="20" t="s">
        <v>75</v>
      </c>
      <c r="C13" s="21" t="n">
        <v>1</v>
      </c>
      <c r="D13" s="16" t="n">
        <v>93.63</v>
      </c>
      <c r="E13" s="22" t="n">
        <f aca="false">C13*D13</f>
        <v>93.63</v>
      </c>
    </row>
    <row r="14" customFormat="false" ht="15" hidden="false" customHeight="false" outlineLevel="0" collapsed="false">
      <c r="A14" s="20" t="s">
        <v>76</v>
      </c>
      <c r="B14" s="20" t="s">
        <v>77</v>
      </c>
      <c r="C14" s="21" t="n">
        <v>1</v>
      </c>
      <c r="D14" s="16" t="n">
        <v>285.99</v>
      </c>
      <c r="E14" s="22" t="n">
        <f aca="false">C14*D14</f>
        <v>285.99</v>
      </c>
    </row>
    <row r="15" customFormat="false" ht="15" hidden="false" customHeight="false" outlineLevel="0" collapsed="false">
      <c r="A15" s="20" t="s">
        <v>78</v>
      </c>
      <c r="B15" s="20" t="s">
        <v>79</v>
      </c>
      <c r="C15" s="21" t="n">
        <v>1</v>
      </c>
      <c r="D15" s="16" t="n">
        <v>705.69</v>
      </c>
      <c r="E15" s="22" t="n">
        <f aca="false">C15*D15</f>
        <v>705.69</v>
      </c>
    </row>
    <row r="16" customFormat="false" ht="15" hidden="false" customHeight="false" outlineLevel="0" collapsed="false">
      <c r="A16" s="4" t="s">
        <v>80</v>
      </c>
      <c r="B16" s="20" t="s">
        <v>81</v>
      </c>
      <c r="C16" s="4"/>
      <c r="D16" s="23" t="n">
        <f aca="false">Premissas!$B$8</f>
        <v>0.05</v>
      </c>
      <c r="E16" s="22" t="n">
        <f aca="false">SUM(E5:E15)*D16</f>
        <v>124.527558381148</v>
      </c>
    </row>
    <row r="17" customFormat="false" ht="15" hidden="false" customHeight="false" outlineLevel="0" collapsed="false">
      <c r="A17" s="20" t="s">
        <v>82</v>
      </c>
      <c r="B17" s="20" t="s">
        <v>83</v>
      </c>
      <c r="C17" s="21" t="n">
        <v>5.75</v>
      </c>
      <c r="D17" s="5" t="n">
        <f aca="false">Premissas!$B$5</f>
        <v>34.9305521472393</v>
      </c>
      <c r="E17" s="22" t="n">
        <f aca="false">C17*D17</f>
        <v>200.850674846626</v>
      </c>
    </row>
    <row r="18" customFormat="false" ht="23.85" hidden="false" customHeight="false" outlineLevel="0" collapsed="false">
      <c r="A18" s="20" t="s">
        <v>84</v>
      </c>
      <c r="B18" s="20" t="s">
        <v>85</v>
      </c>
      <c r="C18" s="21" t="n">
        <v>16</v>
      </c>
      <c r="D18" s="5" t="n">
        <f aca="false">Premissas!$B$5</f>
        <v>34.9305521472393</v>
      </c>
      <c r="E18" s="22" t="n">
        <f aca="false">C18*D18</f>
        <v>558.888834355829</v>
      </c>
    </row>
    <row r="19" customFormat="false" ht="15" hidden="false" customHeight="false" outlineLevel="0" collapsed="false">
      <c r="A19" s="24" t="s">
        <v>86</v>
      </c>
      <c r="B19" s="25"/>
      <c r="C19" s="25"/>
      <c r="D19" s="25"/>
      <c r="E19" s="10" t="n">
        <f aca="false">SUM(E5:E18)</f>
        <v>3374.81823520655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20</v>
      </c>
    </row>
    <row r="2" customFormat="false" ht="27.75" hidden="false" customHeight="true" outlineLevel="0" collapsed="false">
      <c r="A2" s="2" t="s">
        <v>87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</row>
    <row r="5" customFormat="false" ht="15" hidden="false" customHeight="false" outlineLevel="0" collapsed="false">
      <c r="A5" s="26" t="s">
        <v>88</v>
      </c>
      <c r="B5" s="27"/>
      <c r="C5" s="27"/>
      <c r="D5" s="27"/>
      <c r="E5" s="27"/>
    </row>
    <row r="6" customFormat="false" ht="15" hidden="false" customHeight="false" outlineLevel="0" collapsed="false">
      <c r="A6" s="20" t="s">
        <v>45</v>
      </c>
      <c r="B6" s="20" t="s">
        <v>89</v>
      </c>
      <c r="C6" s="21" t="n">
        <v>71</v>
      </c>
      <c r="D6" s="16" t="n">
        <v>47.8850459016393</v>
      </c>
      <c r="E6" s="22" t="n">
        <f aca="false">C6*D6</f>
        <v>3399.83825901639</v>
      </c>
    </row>
    <row r="7" customFormat="false" ht="15" hidden="false" customHeight="false" outlineLevel="0" collapsed="false">
      <c r="A7" s="20" t="s">
        <v>90</v>
      </c>
      <c r="B7" s="20" t="s">
        <v>91</v>
      </c>
      <c r="C7" s="21" t="n">
        <v>22</v>
      </c>
      <c r="D7" s="16" t="n">
        <v>104.42</v>
      </c>
      <c r="E7" s="22" t="n">
        <f aca="false">C7*D7</f>
        <v>2297.24</v>
      </c>
    </row>
    <row r="8" customFormat="false" ht="15" hidden="false" customHeight="false" outlineLevel="0" collapsed="false">
      <c r="A8" s="20" t="s">
        <v>92</v>
      </c>
      <c r="B8" s="20" t="s">
        <v>93</v>
      </c>
      <c r="C8" s="21" t="n">
        <v>14</v>
      </c>
      <c r="D8" s="16" t="n">
        <v>138.31</v>
      </c>
      <c r="E8" s="22" t="n">
        <f aca="false">C8*D8</f>
        <v>1936.34</v>
      </c>
    </row>
    <row r="9" customFormat="false" ht="15" hidden="false" customHeight="false" outlineLevel="0" collapsed="false">
      <c r="A9" s="20" t="s">
        <v>94</v>
      </c>
      <c r="B9" s="20" t="s">
        <v>95</v>
      </c>
      <c r="C9" s="21" t="n">
        <v>3</v>
      </c>
      <c r="D9" s="16" t="n">
        <v>673.739525</v>
      </c>
      <c r="E9" s="22" t="n">
        <f aca="false">C9*D9</f>
        <v>2021.218575</v>
      </c>
    </row>
    <row r="10" customFormat="false" ht="15" hidden="false" customHeight="false" outlineLevel="0" collapsed="false">
      <c r="A10" s="20" t="s">
        <v>96</v>
      </c>
      <c r="B10" s="20" t="s">
        <v>97</v>
      </c>
      <c r="C10" s="21" t="n">
        <v>120</v>
      </c>
      <c r="D10" s="16" t="n">
        <v>2.62262295081967</v>
      </c>
      <c r="E10" s="22" t="n">
        <f aca="false">C10*D10</f>
        <v>314.71475409836</v>
      </c>
    </row>
    <row r="11" customFormat="false" ht="15" hidden="false" customHeight="false" outlineLevel="0" collapsed="false">
      <c r="A11" s="20" t="s">
        <v>98</v>
      </c>
      <c r="B11" s="20" t="s">
        <v>99</v>
      </c>
      <c r="C11" s="21" t="n">
        <v>72</v>
      </c>
      <c r="D11" s="16" t="n">
        <v>0.7099</v>
      </c>
      <c r="E11" s="22" t="n">
        <f aca="false">C11*D11</f>
        <v>51.1128</v>
      </c>
    </row>
    <row r="12" customFormat="false" ht="23.85" hidden="false" customHeight="false" outlineLevel="0" collapsed="false">
      <c r="A12" s="20" t="s">
        <v>100</v>
      </c>
      <c r="B12" s="20" t="s">
        <v>101</v>
      </c>
      <c r="C12" s="21" t="n">
        <v>54</v>
      </c>
      <c r="D12" s="16" t="n">
        <v>4.36</v>
      </c>
      <c r="E12" s="22" t="n">
        <f aca="false">C12*D12</f>
        <v>235.44</v>
      </c>
    </row>
    <row r="13" customFormat="false" ht="15" hidden="false" customHeight="false" outlineLevel="0" collapsed="false">
      <c r="A13" s="20" t="s">
        <v>102</v>
      </c>
      <c r="B13" s="20" t="s">
        <v>103</v>
      </c>
      <c r="C13" s="21" t="n">
        <v>2</v>
      </c>
      <c r="D13" s="16" t="n">
        <v>28.52</v>
      </c>
      <c r="E13" s="22" t="n">
        <f aca="false">C13*D13</f>
        <v>57.04</v>
      </c>
    </row>
    <row r="14" customFormat="false" ht="15" hidden="false" customHeight="false" outlineLevel="0" collapsed="false">
      <c r="A14" s="20" t="s">
        <v>67</v>
      </c>
      <c r="B14" s="20" t="s">
        <v>104</v>
      </c>
      <c r="C14" s="21" t="n">
        <v>2</v>
      </c>
      <c r="D14" s="16" t="n">
        <v>25.611</v>
      </c>
      <c r="E14" s="22" t="n">
        <f aca="false">C14*D14</f>
        <v>51.222</v>
      </c>
    </row>
    <row r="15" customFormat="false" ht="15" hidden="false" customHeight="false" outlineLevel="0" collapsed="false">
      <c r="A15" s="20" t="s">
        <v>105</v>
      </c>
      <c r="B15" s="20" t="s">
        <v>106</v>
      </c>
      <c r="C15" s="21" t="n">
        <v>100</v>
      </c>
      <c r="D15" s="16" t="n">
        <v>2.62262295081967</v>
      </c>
      <c r="E15" s="22" t="n">
        <f aca="false">C15*D15</f>
        <v>262.262295081967</v>
      </c>
    </row>
    <row r="16" customFormat="false" ht="15" hidden="false" customHeight="false" outlineLevel="0" collapsed="false">
      <c r="A16" s="20" t="s">
        <v>107</v>
      </c>
      <c r="B16" s="20" t="s">
        <v>108</v>
      </c>
      <c r="C16" s="21" t="n">
        <v>1</v>
      </c>
      <c r="D16" s="16" t="n">
        <v>769.32</v>
      </c>
      <c r="E16" s="22" t="n">
        <f aca="false">C16*D16</f>
        <v>769.32</v>
      </c>
    </row>
    <row r="17" customFormat="false" ht="15" hidden="false" customHeight="false" outlineLevel="0" collapsed="false">
      <c r="A17" s="20" t="s">
        <v>109</v>
      </c>
      <c r="B17" s="20" t="s">
        <v>110</v>
      </c>
      <c r="C17" s="21" t="n">
        <v>1</v>
      </c>
      <c r="D17" s="16" t="n">
        <v>368.1</v>
      </c>
      <c r="E17" s="22" t="n">
        <f aca="false">C17*D17</f>
        <v>368.1</v>
      </c>
    </row>
    <row r="18" customFormat="false" ht="15" hidden="false" customHeight="false" outlineLevel="0" collapsed="false">
      <c r="A18" s="20" t="s">
        <v>111</v>
      </c>
      <c r="B18" s="20" t="s">
        <v>110</v>
      </c>
      <c r="C18" s="21" t="n">
        <v>1</v>
      </c>
      <c r="D18" s="16" t="n">
        <v>431.08</v>
      </c>
      <c r="E18" s="22" t="n">
        <f aca="false">C18*D18</f>
        <v>431.08</v>
      </c>
    </row>
    <row r="19" customFormat="false" ht="15" hidden="false" customHeight="false" outlineLevel="0" collapsed="false">
      <c r="A19" s="20" t="s">
        <v>112</v>
      </c>
      <c r="B19" s="20" t="s">
        <v>113</v>
      </c>
      <c r="C19" s="21" t="n">
        <v>80</v>
      </c>
      <c r="D19" s="16" t="n">
        <v>2.62262295081967</v>
      </c>
      <c r="E19" s="22" t="n">
        <f aca="false">C19*D19</f>
        <v>209.809836065574</v>
      </c>
    </row>
    <row r="20" customFormat="false" ht="15" hidden="false" customHeight="false" outlineLevel="0" collapsed="false">
      <c r="A20" s="20" t="s">
        <v>114</v>
      </c>
      <c r="B20" s="20" t="s">
        <v>115</v>
      </c>
      <c r="C20" s="21" t="n">
        <v>1</v>
      </c>
      <c r="D20" s="16" t="n">
        <v>350</v>
      </c>
      <c r="E20" s="22" t="n">
        <f aca="false">C20*D20</f>
        <v>350</v>
      </c>
    </row>
    <row r="21" customFormat="false" ht="15" hidden="false" customHeight="false" outlineLevel="0" collapsed="false">
      <c r="A21" s="20" t="s">
        <v>76</v>
      </c>
      <c r="B21" s="20" t="s">
        <v>116</v>
      </c>
      <c r="C21" s="21" t="n">
        <v>1</v>
      </c>
      <c r="D21" s="16" t="n">
        <v>285.99</v>
      </c>
      <c r="E21" s="22" t="n">
        <f aca="false">C21*D21</f>
        <v>285.99</v>
      </c>
    </row>
    <row r="22" customFormat="false" ht="15" hidden="false" customHeight="false" outlineLevel="0" collapsed="false">
      <c r="A22" s="20" t="s">
        <v>78</v>
      </c>
      <c r="B22" s="20" t="s">
        <v>116</v>
      </c>
      <c r="C22" s="21" t="n">
        <v>1</v>
      </c>
      <c r="D22" s="16" t="n">
        <v>705.69</v>
      </c>
      <c r="E22" s="22" t="n">
        <f aca="false">C22*D22</f>
        <v>705.69</v>
      </c>
    </row>
    <row r="23" customFormat="false" ht="15" hidden="false" customHeight="false" outlineLevel="0" collapsed="false">
      <c r="A23" s="4" t="s">
        <v>80</v>
      </c>
      <c r="B23" s="4" t="s">
        <v>117</v>
      </c>
      <c r="C23" s="4"/>
      <c r="D23" s="23" t="n">
        <f aca="false">Premissas!$B$8</f>
        <v>0.05</v>
      </c>
      <c r="E23" s="22" t="n">
        <f aca="false">SUM(E6:E22)*D23</f>
        <v>687.320925963115</v>
      </c>
    </row>
    <row r="24" customFormat="false" ht="15" hidden="false" customHeight="false" outlineLevel="0" collapsed="false">
      <c r="A24" s="24" t="s">
        <v>118</v>
      </c>
      <c r="B24" s="25"/>
      <c r="C24" s="25"/>
      <c r="D24" s="25"/>
      <c r="E24" s="10" t="n">
        <f aca="false">SUM(E6:E23)</f>
        <v>14433.7394452254</v>
      </c>
    </row>
    <row r="26" customFormat="false" ht="15" hidden="false" customHeight="false" outlineLevel="0" collapsed="false">
      <c r="A26" s="26" t="s">
        <v>119</v>
      </c>
      <c r="B26" s="27"/>
      <c r="C26" s="27"/>
      <c r="D26" s="27"/>
      <c r="E26" s="27"/>
    </row>
    <row r="27" customFormat="false" ht="15" hidden="false" customHeight="false" outlineLevel="0" collapsed="false">
      <c r="A27" s="20" t="s">
        <v>120</v>
      </c>
      <c r="B27" s="20" t="s">
        <v>121</v>
      </c>
      <c r="C27" s="21" t="n">
        <v>17.75</v>
      </c>
      <c r="D27" s="5" t="n">
        <f aca="false">Premissas!$B$5</f>
        <v>34.9305521472393</v>
      </c>
      <c r="E27" s="22" t="n">
        <f aca="false">C27*D27</f>
        <v>620.017300613498</v>
      </c>
    </row>
    <row r="28" customFormat="false" ht="15" hidden="false" customHeight="false" outlineLevel="0" collapsed="false">
      <c r="A28" s="20" t="s">
        <v>122</v>
      </c>
      <c r="B28" s="20" t="s">
        <v>123</v>
      </c>
      <c r="C28" s="21" t="n">
        <v>16.5</v>
      </c>
      <c r="D28" s="5" t="n">
        <f aca="false">Premissas!$B$5</f>
        <v>34.9305521472393</v>
      </c>
      <c r="E28" s="22" t="n">
        <f aca="false">C28*D28</f>
        <v>576.354110429448</v>
      </c>
    </row>
    <row r="29" customFormat="false" ht="15" hidden="false" customHeight="false" outlineLevel="0" collapsed="false">
      <c r="A29" s="20" t="s">
        <v>124</v>
      </c>
      <c r="B29" s="20" t="s">
        <v>121</v>
      </c>
      <c r="C29" s="21" t="n">
        <v>14</v>
      </c>
      <c r="D29" s="5" t="n">
        <f aca="false">Premissas!$B$5</f>
        <v>34.9305521472393</v>
      </c>
      <c r="E29" s="22" t="n">
        <f aca="false">C29*D29</f>
        <v>489.02773006135</v>
      </c>
    </row>
    <row r="30" customFormat="false" ht="15" hidden="false" customHeight="false" outlineLevel="0" collapsed="false">
      <c r="A30" s="20" t="s">
        <v>125</v>
      </c>
      <c r="B30" s="20" t="s">
        <v>126</v>
      </c>
      <c r="C30" s="21" t="n">
        <v>6</v>
      </c>
      <c r="D30" s="5" t="n">
        <f aca="false">Premissas!$B$5</f>
        <v>34.9305521472393</v>
      </c>
      <c r="E30" s="22" t="n">
        <f aca="false">C30*D30</f>
        <v>209.583312883436</v>
      </c>
    </row>
    <row r="31" customFormat="false" ht="15" hidden="false" customHeight="false" outlineLevel="0" collapsed="false">
      <c r="A31" s="20" t="s">
        <v>127</v>
      </c>
      <c r="B31" s="20" t="s">
        <v>128</v>
      </c>
      <c r="C31" s="21" t="n">
        <v>46.68</v>
      </c>
      <c r="D31" s="5" t="n">
        <f aca="false">Premissas!$B$5</f>
        <v>34.9305521472393</v>
      </c>
      <c r="E31" s="22" t="n">
        <f aca="false">C31*D31</f>
        <v>1630.55817423313</v>
      </c>
    </row>
    <row r="32" customFormat="false" ht="15" hidden="false" customHeight="false" outlineLevel="0" collapsed="false">
      <c r="A32" s="20" t="s">
        <v>129</v>
      </c>
      <c r="B32" s="20" t="s">
        <v>130</v>
      </c>
      <c r="C32" s="21" t="n">
        <v>12</v>
      </c>
      <c r="D32" s="5" t="n">
        <f aca="false">Premissas!$B$5</f>
        <v>34.9305521472393</v>
      </c>
      <c r="E32" s="22" t="n">
        <f aca="false">C32*D32</f>
        <v>419.166625766872</v>
      </c>
    </row>
    <row r="33" customFormat="false" ht="15" hidden="false" customHeight="false" outlineLevel="0" collapsed="false">
      <c r="A33" s="20" t="s">
        <v>131</v>
      </c>
      <c r="B33" s="20" t="s">
        <v>132</v>
      </c>
      <c r="C33" s="21" t="n">
        <v>8</v>
      </c>
      <c r="D33" s="5" t="n">
        <f aca="false">Premissas!$B$6</f>
        <v>24.6575460122699</v>
      </c>
      <c r="E33" s="22" t="n">
        <f aca="false">C33*D33</f>
        <v>197.260368098159</v>
      </c>
    </row>
    <row r="34" customFormat="false" ht="15" hidden="false" customHeight="false" outlineLevel="0" collapsed="false">
      <c r="A34" s="20" t="s">
        <v>133</v>
      </c>
      <c r="B34" s="20" t="s">
        <v>134</v>
      </c>
      <c r="C34" s="21" t="n">
        <v>16</v>
      </c>
      <c r="D34" s="5" t="n">
        <f aca="false">Premissas!$B$5</f>
        <v>34.9305521472393</v>
      </c>
      <c r="E34" s="22" t="n">
        <f aca="false">C34*D34</f>
        <v>558.888834355829</v>
      </c>
    </row>
    <row r="35" customFormat="false" ht="15" hidden="false" customHeight="false" outlineLevel="0" collapsed="false">
      <c r="A35" s="24" t="s">
        <v>135</v>
      </c>
      <c r="B35" s="25"/>
      <c r="C35" s="25"/>
      <c r="D35" s="25"/>
      <c r="E35" s="10" t="n">
        <f aca="false">SUM(E27:E34)</f>
        <v>4700.85645644172</v>
      </c>
    </row>
    <row r="37" customFormat="false" ht="15" hidden="false" customHeight="false" outlineLevel="0" collapsed="false">
      <c r="A37" s="26" t="s">
        <v>136</v>
      </c>
      <c r="B37" s="27"/>
      <c r="C37" s="27"/>
      <c r="D37" s="27"/>
      <c r="E37" s="27"/>
    </row>
    <row r="38" customFormat="false" ht="15" hidden="false" customHeight="false" outlineLevel="0" collapsed="false">
      <c r="A38" s="4" t="s">
        <v>137</v>
      </c>
      <c r="B38" s="20" t="s">
        <v>138</v>
      </c>
      <c r="C38" s="4"/>
      <c r="D38" s="4"/>
      <c r="E38" s="5" t="n">
        <f aca="false">-('Fase 1 - Bancada'!E14+'Fase 1 - Bancada'!E15)*(1+Premissas!$B$8)</f>
        <v>-1041.264</v>
      </c>
    </row>
    <row r="39" customFormat="false" ht="15" hidden="false" customHeight="false" outlineLevel="0" collapsed="false">
      <c r="A39" s="4" t="s">
        <v>139</v>
      </c>
      <c r="B39" s="20" t="s">
        <v>140</v>
      </c>
      <c r="C39" s="4"/>
      <c r="D39" s="4"/>
      <c r="E39" s="5" t="n">
        <f aca="false">-('Fase 1 - Bancada'!E5+'Fase 1 - Bancada'!E6+'Fase 1 - Bancada'!E7+'Fase 1 - Bancada'!E8)</f>
        <v>-1246.31970860656</v>
      </c>
    </row>
    <row r="40" customFormat="false" ht="15" hidden="false" customHeight="false" outlineLevel="0" collapsed="false">
      <c r="A40" s="24" t="s">
        <v>141</v>
      </c>
      <c r="B40" s="25"/>
      <c r="C40" s="25"/>
      <c r="D40" s="25"/>
      <c r="E40" s="10" t="n">
        <f aca="false">E24+E35+E38+E39</f>
        <v>16847.0121930606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142</v>
      </c>
    </row>
    <row r="2" customFormat="false" ht="27.75" hidden="false" customHeight="true" outlineLevel="0" collapsed="false">
      <c r="A2" s="2" t="s">
        <v>143</v>
      </c>
      <c r="B2" s="2"/>
      <c r="C2" s="2"/>
      <c r="D2" s="2"/>
      <c r="E2" s="2"/>
    </row>
    <row r="4" customFormat="false" ht="30" hidden="false" customHeight="true" outlineLevel="0" collapsed="false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</row>
    <row r="5" customFormat="false" ht="15" hidden="false" customHeight="false" outlineLevel="0" collapsed="false">
      <c r="A5" s="20" t="s">
        <v>149</v>
      </c>
      <c r="B5" s="20" t="s">
        <v>150</v>
      </c>
      <c r="C5" s="21" t="n">
        <v>160</v>
      </c>
      <c r="D5" s="5" t="n">
        <f aca="false">Premissas!$B$7</f>
        <v>103.78282208589</v>
      </c>
      <c r="E5" s="22" t="n">
        <f aca="false">C5*D5</f>
        <v>16605.2515337424</v>
      </c>
    </row>
    <row r="6" customFormat="false" ht="15" hidden="false" customHeight="false" outlineLevel="0" collapsed="false">
      <c r="A6" s="20" t="s">
        <v>151</v>
      </c>
      <c r="B6" s="20" t="s">
        <v>152</v>
      </c>
      <c r="C6" s="21" t="n">
        <v>160</v>
      </c>
      <c r="D6" s="5" t="n">
        <f aca="false">Premissas!$B$7</f>
        <v>103.78282208589</v>
      </c>
      <c r="E6" s="22" t="n">
        <f aca="false">C6*D6</f>
        <v>16605.2515337424</v>
      </c>
    </row>
    <row r="7" customFormat="false" ht="15" hidden="false" customHeight="false" outlineLevel="0" collapsed="false">
      <c r="A7" s="20" t="s">
        <v>153</v>
      </c>
      <c r="B7" s="20" t="s">
        <v>154</v>
      </c>
      <c r="C7" s="21" t="n">
        <v>60</v>
      </c>
      <c r="D7" s="5" t="n">
        <f aca="false">Premissas!$B$7</f>
        <v>103.78282208589</v>
      </c>
      <c r="E7" s="22" t="n">
        <f aca="false">C7*D7</f>
        <v>6226.9693251534</v>
      </c>
    </row>
    <row r="8" customFormat="false" ht="15" hidden="false" customHeight="false" outlineLevel="0" collapsed="false">
      <c r="A8" s="20" t="s">
        <v>155</v>
      </c>
      <c r="B8" s="20" t="s">
        <v>156</v>
      </c>
      <c r="C8" s="21" t="n">
        <v>100</v>
      </c>
      <c r="D8" s="5" t="n">
        <f aca="false">Premissas!$B$7</f>
        <v>103.78282208589</v>
      </c>
      <c r="E8" s="22" t="n">
        <f aca="false">C8*D8</f>
        <v>10378.282208589</v>
      </c>
    </row>
    <row r="9" customFormat="false" ht="15" hidden="false" customHeight="false" outlineLevel="0" collapsed="false">
      <c r="A9" s="20" t="s">
        <v>157</v>
      </c>
      <c r="B9" s="20" t="s">
        <v>158</v>
      </c>
      <c r="C9" s="21" t="n">
        <v>40</v>
      </c>
      <c r="D9" s="5" t="n">
        <f aca="false">Premissas!$B$7</f>
        <v>103.78282208589</v>
      </c>
      <c r="E9" s="22" t="n">
        <f aca="false">C9*D9</f>
        <v>4151.3128834356</v>
      </c>
    </row>
    <row r="10" customFormat="false" ht="15" hidden="false" customHeight="false" outlineLevel="0" collapsed="false">
      <c r="A10" s="20" t="s">
        <v>159</v>
      </c>
      <c r="B10" s="20" t="s">
        <v>160</v>
      </c>
      <c r="C10" s="21" t="n">
        <v>80</v>
      </c>
      <c r="D10" s="5" t="n">
        <f aca="false">Premissas!$B$7</f>
        <v>103.78282208589</v>
      </c>
      <c r="E10" s="22" t="n">
        <f aca="false">C10*D10</f>
        <v>8302.6257668712</v>
      </c>
    </row>
    <row r="11" customFormat="false" ht="15" hidden="false" customHeight="false" outlineLevel="0" collapsed="false">
      <c r="A11" s="24" t="s">
        <v>161</v>
      </c>
      <c r="B11" s="25"/>
      <c r="C11" s="28" t="n">
        <f aca="false">SUM(C5:C10)</f>
        <v>600</v>
      </c>
      <c r="D11" s="25"/>
      <c r="E11" s="10" t="n">
        <f aca="false">SUM(E5:E10)</f>
        <v>62269.693251534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2026-10-27T17:54:52Z</dcterms:created>
  <dc:creator>openpyxl</dc:creator>
  <dc:description/>
  <dc:language>en-US</dc:language>
  <cp:lastModifiedBy/>
  <dcterms:modified xsi:type="dcterms:W3CDTF">2026-10-27T17:54:52Z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